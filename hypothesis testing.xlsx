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510"/>
  <workbookPr/>
  <mc:AlternateContent xmlns:mc="http://schemas.openxmlformats.org/markup-compatibility/2006">
    <mc:Choice Requires="x15">
      <x15ac:absPath xmlns:x15ac="http://schemas.microsoft.com/office/spreadsheetml/2010/11/ac" url="/Users/yonasmenghis/Desktop/"/>
    </mc:Choice>
  </mc:AlternateContent>
  <bookViews>
    <workbookView xWindow="640" yWindow="460" windowWidth="28160" windowHeight="16080" tabRatio="500" activeTab="1"/>
  </bookViews>
  <sheets>
    <sheet name="S&amp;P stock" sheetId="1" r:id="rId1"/>
    <sheet name="component stocks" sheetId="2" r:id="rId2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U268" i="2" l="1"/>
  <c r="AU264" i="2"/>
  <c r="AU263" i="2"/>
  <c r="AP268" i="2"/>
  <c r="AP264" i="2"/>
  <c r="AP263" i="2"/>
  <c r="AK268" i="2"/>
  <c r="AK264" i="2"/>
  <c r="AK263" i="2"/>
  <c r="AF268" i="2"/>
  <c r="AF264" i="2"/>
  <c r="AF263" i="2"/>
  <c r="AA268" i="2"/>
  <c r="AA264" i="2"/>
  <c r="AA263" i="2"/>
  <c r="V268" i="2"/>
  <c r="V264" i="2"/>
  <c r="V263" i="2"/>
  <c r="Q268" i="2"/>
  <c r="Q264" i="2"/>
  <c r="Q263" i="2"/>
  <c r="L268" i="2"/>
  <c r="L264" i="2"/>
  <c r="L263" i="2"/>
  <c r="G268" i="2"/>
  <c r="G264" i="2"/>
  <c r="G263" i="2"/>
  <c r="B268" i="2"/>
  <c r="B264" i="2"/>
  <c r="B263" i="2"/>
  <c r="H7" i="1"/>
  <c r="H11" i="1"/>
  <c r="H6" i="1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44" i="2"/>
  <c r="AV45" i="2"/>
  <c r="AV46" i="2"/>
  <c r="AV47" i="2"/>
  <c r="AV48" i="2"/>
  <c r="AV49" i="2"/>
  <c r="AV50" i="2"/>
  <c r="AV51" i="2"/>
  <c r="AV52" i="2"/>
  <c r="AV53" i="2"/>
  <c r="AV54" i="2"/>
  <c r="AV55" i="2"/>
  <c r="AV56" i="2"/>
  <c r="AV57" i="2"/>
  <c r="AV58" i="2"/>
  <c r="AV59" i="2"/>
  <c r="AV60" i="2"/>
  <c r="AV61" i="2"/>
  <c r="AV62" i="2"/>
  <c r="AV63" i="2"/>
  <c r="AV64" i="2"/>
  <c r="AV65" i="2"/>
  <c r="AV66" i="2"/>
  <c r="AV67" i="2"/>
  <c r="AV68" i="2"/>
  <c r="AV69" i="2"/>
  <c r="AV70" i="2"/>
  <c r="AV71" i="2"/>
  <c r="AV72" i="2"/>
  <c r="AV73" i="2"/>
  <c r="AV74" i="2"/>
  <c r="AV75" i="2"/>
  <c r="AV76" i="2"/>
  <c r="AV77" i="2"/>
  <c r="AV78" i="2"/>
  <c r="AV79" i="2"/>
  <c r="AV80" i="2"/>
  <c r="AV81" i="2"/>
  <c r="AV82" i="2"/>
  <c r="AV83" i="2"/>
  <c r="AV84" i="2"/>
  <c r="AV85" i="2"/>
  <c r="AV86" i="2"/>
  <c r="AV87" i="2"/>
  <c r="AV88" i="2"/>
  <c r="AV89" i="2"/>
  <c r="AV90" i="2"/>
  <c r="AV91" i="2"/>
  <c r="AV92" i="2"/>
  <c r="AV93" i="2"/>
  <c r="AV94" i="2"/>
  <c r="AV95" i="2"/>
  <c r="AV96" i="2"/>
  <c r="AV97" i="2"/>
  <c r="AV98" i="2"/>
  <c r="AV99" i="2"/>
  <c r="AV100" i="2"/>
  <c r="AV101" i="2"/>
  <c r="AV102" i="2"/>
  <c r="AV103" i="2"/>
  <c r="AV104" i="2"/>
  <c r="AV105" i="2"/>
  <c r="AV106" i="2"/>
  <c r="AV107" i="2"/>
  <c r="AV108" i="2"/>
  <c r="AV109" i="2"/>
  <c r="AV110" i="2"/>
  <c r="AV111" i="2"/>
  <c r="AV112" i="2"/>
  <c r="AV113" i="2"/>
  <c r="AV114" i="2"/>
  <c r="AV115" i="2"/>
  <c r="AV116" i="2"/>
  <c r="AV117" i="2"/>
  <c r="AV118" i="2"/>
  <c r="AV119" i="2"/>
  <c r="AV120" i="2"/>
  <c r="AV121" i="2"/>
  <c r="AV122" i="2"/>
  <c r="AV123" i="2"/>
  <c r="AV124" i="2"/>
  <c r="AV125" i="2"/>
  <c r="AV126" i="2"/>
  <c r="AV127" i="2"/>
  <c r="AV128" i="2"/>
  <c r="AV129" i="2"/>
  <c r="AV130" i="2"/>
  <c r="AV131" i="2"/>
  <c r="AV132" i="2"/>
  <c r="AV133" i="2"/>
  <c r="AV134" i="2"/>
  <c r="AV135" i="2"/>
  <c r="AV136" i="2"/>
  <c r="AV137" i="2"/>
  <c r="AV138" i="2"/>
  <c r="AV139" i="2"/>
  <c r="AV140" i="2"/>
  <c r="AV141" i="2"/>
  <c r="AV142" i="2"/>
  <c r="AV143" i="2"/>
  <c r="AV144" i="2"/>
  <c r="AV145" i="2"/>
  <c r="AV146" i="2"/>
  <c r="AV147" i="2"/>
  <c r="AV148" i="2"/>
  <c r="AV149" i="2"/>
  <c r="AV150" i="2"/>
  <c r="AV151" i="2"/>
  <c r="AV152" i="2"/>
  <c r="AV153" i="2"/>
  <c r="AV154" i="2"/>
  <c r="AV155" i="2"/>
  <c r="AV156" i="2"/>
  <c r="AV157" i="2"/>
  <c r="AV158" i="2"/>
  <c r="AV159" i="2"/>
  <c r="AV160" i="2"/>
  <c r="AV161" i="2"/>
  <c r="AV162" i="2"/>
  <c r="AV163" i="2"/>
  <c r="AV164" i="2"/>
  <c r="AV165" i="2"/>
  <c r="AV166" i="2"/>
  <c r="AV167" i="2"/>
  <c r="AV168" i="2"/>
  <c r="AV169" i="2"/>
  <c r="AV170" i="2"/>
  <c r="AV171" i="2"/>
  <c r="AV172" i="2"/>
  <c r="AV173" i="2"/>
  <c r="AV174" i="2"/>
  <c r="AV175" i="2"/>
  <c r="AV176" i="2"/>
  <c r="AV177" i="2"/>
  <c r="AV178" i="2"/>
  <c r="AV179" i="2"/>
  <c r="AV180" i="2"/>
  <c r="AV181" i="2"/>
  <c r="AV182" i="2"/>
  <c r="AV183" i="2"/>
  <c r="AV184" i="2"/>
  <c r="AV185" i="2"/>
  <c r="AV186" i="2"/>
  <c r="AV187" i="2"/>
  <c r="AV188" i="2"/>
  <c r="AV189" i="2"/>
  <c r="AV190" i="2"/>
  <c r="AV191" i="2"/>
  <c r="AV192" i="2"/>
  <c r="AV193" i="2"/>
  <c r="AV194" i="2"/>
  <c r="AV195" i="2"/>
  <c r="AV196" i="2"/>
  <c r="AV197" i="2"/>
  <c r="AV198" i="2"/>
  <c r="AV199" i="2"/>
  <c r="AV200" i="2"/>
  <c r="AV201" i="2"/>
  <c r="AV202" i="2"/>
  <c r="AV203" i="2"/>
  <c r="AV204" i="2"/>
  <c r="AV205" i="2"/>
  <c r="AV206" i="2"/>
  <c r="AV207" i="2"/>
  <c r="AV208" i="2"/>
  <c r="AV209" i="2"/>
  <c r="AV210" i="2"/>
  <c r="AV211" i="2"/>
  <c r="AV212" i="2"/>
  <c r="AV213" i="2"/>
  <c r="AV214" i="2"/>
  <c r="AV215" i="2"/>
  <c r="AV216" i="2"/>
  <c r="AV217" i="2"/>
  <c r="AV218" i="2"/>
  <c r="AV219" i="2"/>
  <c r="AV220" i="2"/>
  <c r="AV221" i="2"/>
  <c r="AV222" i="2"/>
  <c r="AV223" i="2"/>
  <c r="AV224" i="2"/>
  <c r="AV225" i="2"/>
  <c r="AV226" i="2"/>
  <c r="AV227" i="2"/>
  <c r="AV228" i="2"/>
  <c r="AV229" i="2"/>
  <c r="AV230" i="2"/>
  <c r="AV231" i="2"/>
  <c r="AV232" i="2"/>
  <c r="AV233" i="2"/>
  <c r="AV234" i="2"/>
  <c r="AV235" i="2"/>
  <c r="AV236" i="2"/>
  <c r="AV237" i="2"/>
  <c r="AV238" i="2"/>
  <c r="AV239" i="2"/>
  <c r="AV240" i="2"/>
  <c r="AV241" i="2"/>
  <c r="AV242" i="2"/>
  <c r="AV243" i="2"/>
  <c r="AV244" i="2"/>
  <c r="AV245" i="2"/>
  <c r="AV246" i="2"/>
  <c r="AV247" i="2"/>
  <c r="AV248" i="2"/>
  <c r="AV249" i="2"/>
  <c r="AV250" i="2"/>
  <c r="AV251" i="2"/>
  <c r="AV252" i="2"/>
  <c r="AV253" i="2"/>
  <c r="AV254" i="2"/>
  <c r="AV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Q88" i="2"/>
  <c r="AQ89" i="2"/>
  <c r="AQ90" i="2"/>
  <c r="AQ91" i="2"/>
  <c r="AQ92" i="2"/>
  <c r="AQ93" i="2"/>
  <c r="AQ94" i="2"/>
  <c r="AQ95" i="2"/>
  <c r="AQ96" i="2"/>
  <c r="AQ97" i="2"/>
  <c r="AQ98" i="2"/>
  <c r="AQ99" i="2"/>
  <c r="AQ100" i="2"/>
  <c r="AQ101" i="2"/>
  <c r="AQ102" i="2"/>
  <c r="AQ103" i="2"/>
  <c r="AQ104" i="2"/>
  <c r="AQ105" i="2"/>
  <c r="AQ106" i="2"/>
  <c r="AQ107" i="2"/>
  <c r="AQ108" i="2"/>
  <c r="AQ109" i="2"/>
  <c r="AQ110" i="2"/>
  <c r="AQ111" i="2"/>
  <c r="AQ112" i="2"/>
  <c r="AQ113" i="2"/>
  <c r="AQ114" i="2"/>
  <c r="AQ115" i="2"/>
  <c r="AQ116" i="2"/>
  <c r="AQ117" i="2"/>
  <c r="AQ118" i="2"/>
  <c r="AQ119" i="2"/>
  <c r="AQ120" i="2"/>
  <c r="AQ121" i="2"/>
  <c r="AQ122" i="2"/>
  <c r="AQ123" i="2"/>
  <c r="AQ124" i="2"/>
  <c r="AQ125" i="2"/>
  <c r="AQ126" i="2"/>
  <c r="AQ127" i="2"/>
  <c r="AQ128" i="2"/>
  <c r="AQ129" i="2"/>
  <c r="AQ130" i="2"/>
  <c r="AQ131" i="2"/>
  <c r="AQ132" i="2"/>
  <c r="AQ133" i="2"/>
  <c r="AQ134" i="2"/>
  <c r="AQ135" i="2"/>
  <c r="AQ136" i="2"/>
  <c r="AQ137" i="2"/>
  <c r="AQ138" i="2"/>
  <c r="AQ139" i="2"/>
  <c r="AQ140" i="2"/>
  <c r="AQ141" i="2"/>
  <c r="AQ142" i="2"/>
  <c r="AQ143" i="2"/>
  <c r="AQ144" i="2"/>
  <c r="AQ145" i="2"/>
  <c r="AQ146" i="2"/>
  <c r="AQ147" i="2"/>
  <c r="AQ148" i="2"/>
  <c r="AQ149" i="2"/>
  <c r="AQ150" i="2"/>
  <c r="AQ151" i="2"/>
  <c r="AQ152" i="2"/>
  <c r="AQ153" i="2"/>
  <c r="AQ154" i="2"/>
  <c r="AQ155" i="2"/>
  <c r="AQ156" i="2"/>
  <c r="AQ157" i="2"/>
  <c r="AQ158" i="2"/>
  <c r="AQ159" i="2"/>
  <c r="AQ160" i="2"/>
  <c r="AQ161" i="2"/>
  <c r="AQ162" i="2"/>
  <c r="AQ163" i="2"/>
  <c r="AQ164" i="2"/>
  <c r="AQ165" i="2"/>
  <c r="AQ166" i="2"/>
  <c r="AQ167" i="2"/>
  <c r="AQ168" i="2"/>
  <c r="AQ169" i="2"/>
  <c r="AQ170" i="2"/>
  <c r="AQ171" i="2"/>
  <c r="AQ172" i="2"/>
  <c r="AQ173" i="2"/>
  <c r="AQ174" i="2"/>
  <c r="AQ175" i="2"/>
  <c r="AQ176" i="2"/>
  <c r="AQ177" i="2"/>
  <c r="AQ178" i="2"/>
  <c r="AQ179" i="2"/>
  <c r="AQ180" i="2"/>
  <c r="AQ181" i="2"/>
  <c r="AQ182" i="2"/>
  <c r="AQ183" i="2"/>
  <c r="AQ184" i="2"/>
  <c r="AQ185" i="2"/>
  <c r="AQ186" i="2"/>
  <c r="AQ187" i="2"/>
  <c r="AQ188" i="2"/>
  <c r="AQ189" i="2"/>
  <c r="AQ190" i="2"/>
  <c r="AQ191" i="2"/>
  <c r="AQ192" i="2"/>
  <c r="AQ193" i="2"/>
  <c r="AQ194" i="2"/>
  <c r="AQ195" i="2"/>
  <c r="AQ196" i="2"/>
  <c r="AQ197" i="2"/>
  <c r="AQ198" i="2"/>
  <c r="AQ199" i="2"/>
  <c r="AQ200" i="2"/>
  <c r="AQ201" i="2"/>
  <c r="AQ202" i="2"/>
  <c r="AQ203" i="2"/>
  <c r="AQ204" i="2"/>
  <c r="AQ205" i="2"/>
  <c r="AQ206" i="2"/>
  <c r="AQ207" i="2"/>
  <c r="AQ208" i="2"/>
  <c r="AQ209" i="2"/>
  <c r="AQ210" i="2"/>
  <c r="AQ211" i="2"/>
  <c r="AQ212" i="2"/>
  <c r="AQ213" i="2"/>
  <c r="AQ214" i="2"/>
  <c r="AQ215" i="2"/>
  <c r="AQ216" i="2"/>
  <c r="AQ217" i="2"/>
  <c r="AQ218" i="2"/>
  <c r="AQ219" i="2"/>
  <c r="AQ220" i="2"/>
  <c r="AQ221" i="2"/>
  <c r="AQ222" i="2"/>
  <c r="AQ223" i="2"/>
  <c r="AQ224" i="2"/>
  <c r="AQ225" i="2"/>
  <c r="AQ226" i="2"/>
  <c r="AQ227" i="2"/>
  <c r="AQ228" i="2"/>
  <c r="AQ229" i="2"/>
  <c r="AQ230" i="2"/>
  <c r="AQ231" i="2"/>
  <c r="AQ232" i="2"/>
  <c r="AQ233" i="2"/>
  <c r="AQ234" i="2"/>
  <c r="AQ235" i="2"/>
  <c r="AQ236" i="2"/>
  <c r="AQ237" i="2"/>
  <c r="AQ238" i="2"/>
  <c r="AQ239" i="2"/>
  <c r="AQ240" i="2"/>
  <c r="AQ241" i="2"/>
  <c r="AQ242" i="2"/>
  <c r="AQ243" i="2"/>
  <c r="AQ244" i="2"/>
  <c r="AQ245" i="2"/>
  <c r="AQ246" i="2"/>
  <c r="AQ247" i="2"/>
  <c r="AQ248" i="2"/>
  <c r="AQ249" i="2"/>
  <c r="AQ250" i="2"/>
  <c r="AQ251" i="2"/>
  <c r="AQ252" i="2"/>
  <c r="AQ253" i="2"/>
  <c r="AQ254" i="2"/>
  <c r="AQ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4" i="2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3" i="1"/>
</calcChain>
</file>

<file path=xl/sharedStrings.xml><?xml version="1.0" encoding="utf-8"?>
<sst xmlns="http://schemas.openxmlformats.org/spreadsheetml/2006/main" count="120" uniqueCount="22">
  <si>
    <t>Date</t>
  </si>
  <si>
    <t>Adj Close</t>
  </si>
  <si>
    <t>daily returns</t>
  </si>
  <si>
    <t xml:space="preserve">                     AES</t>
  </si>
  <si>
    <t xml:space="preserve">                   AAP</t>
  </si>
  <si>
    <t xml:space="preserve">                  ACN</t>
  </si>
  <si>
    <t xml:space="preserve">                  ADBE</t>
  </si>
  <si>
    <t xml:space="preserve">                  AMD</t>
  </si>
  <si>
    <t xml:space="preserve">                  ATVI</t>
  </si>
  <si>
    <t xml:space="preserve">                   AYI</t>
  </si>
  <si>
    <t xml:space="preserve">                 ABBV</t>
  </si>
  <si>
    <t xml:space="preserve">                   ABT</t>
  </si>
  <si>
    <t xml:space="preserve">                MMM</t>
  </si>
  <si>
    <t>Daily Returns</t>
  </si>
  <si>
    <t xml:space="preserve">Mean </t>
  </si>
  <si>
    <t>x bar</t>
  </si>
  <si>
    <t>stan dev</t>
  </si>
  <si>
    <t>n</t>
  </si>
  <si>
    <t>t - value</t>
  </si>
  <si>
    <t>p-value</t>
  </si>
  <si>
    <t>alpha</t>
  </si>
  <si>
    <t>Mean 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</si>
</sst>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00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NumberFormat="1" applyFont="1"/>
    <xf numFmtId="0" fontId="0" fillId="0" borderId="0" xfId="0" applyNumberFormat="1"/>
    <xf numFmtId="168" fontId="0" fillId="0" borderId="0" xfId="0" applyNumberFormat="1"/>
    <xf numFmtId="168" fontId="1" fillId="0" borderId="0" xfId="0" applyNumberFormat="1" applyFont="1"/>
  </cellXfs>
  <cellStyles count="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3"/>
  <sheetViews>
    <sheetView zoomScale="88" workbookViewId="0">
      <selection activeCell="H11" sqref="H11"/>
    </sheetView>
  </sheetViews>
  <sheetFormatPr baseColWidth="10" defaultRowHeight="16" x14ac:dyDescent="0.2"/>
  <cols>
    <col min="3" max="3" width="16.33203125" style="4" customWidth="1"/>
    <col min="7" max="7" width="10.6640625" customWidth="1"/>
  </cols>
  <sheetData>
    <row r="1" spans="1:9" s="2" customFormat="1" x14ac:dyDescent="0.2">
      <c r="A1" s="2" t="s">
        <v>0</v>
      </c>
      <c r="B1" s="2" t="s">
        <v>1</v>
      </c>
      <c r="C1" s="3" t="s">
        <v>2</v>
      </c>
    </row>
    <row r="2" spans="1:9" x14ac:dyDescent="0.2">
      <c r="A2" s="1">
        <v>42373</v>
      </c>
      <c r="B2">
        <v>2012.660034</v>
      </c>
      <c r="F2" s="2"/>
      <c r="G2" s="2" t="s">
        <v>20</v>
      </c>
      <c r="H2" s="2">
        <v>0.05</v>
      </c>
    </row>
    <row r="3" spans="1:9" x14ac:dyDescent="0.2">
      <c r="A3" s="1">
        <v>42374</v>
      </c>
      <c r="B3">
        <v>2016.709961</v>
      </c>
      <c r="C3" s="5">
        <f>((B3-B2)/B2)*100</f>
        <v>0.20122260747390711</v>
      </c>
      <c r="G3" s="2"/>
      <c r="H3" s="2"/>
      <c r="I3" s="2"/>
    </row>
    <row r="4" spans="1:9" x14ac:dyDescent="0.2">
      <c r="A4" s="1">
        <v>42375</v>
      </c>
      <c r="B4">
        <v>1990.26001</v>
      </c>
      <c r="C4" s="5">
        <f t="shared" ref="C4:C67" si="0">((B4-B3)/B3)*100</f>
        <v>-1.31153966170151</v>
      </c>
      <c r="G4" s="2" t="s">
        <v>14</v>
      </c>
      <c r="H4" s="2">
        <v>0</v>
      </c>
      <c r="I4" s="2"/>
    </row>
    <row r="5" spans="1:9" x14ac:dyDescent="0.2">
      <c r="A5" s="1">
        <v>42376</v>
      </c>
      <c r="B5">
        <v>1943.089966</v>
      </c>
      <c r="C5" s="5">
        <f t="shared" si="0"/>
        <v>-2.3700443039098174</v>
      </c>
      <c r="G5" s="2"/>
      <c r="H5" s="2"/>
      <c r="I5" s="2"/>
    </row>
    <row r="6" spans="1:9" x14ac:dyDescent="0.2">
      <c r="A6" s="1">
        <v>42377</v>
      </c>
      <c r="B6">
        <v>1922.030029</v>
      </c>
      <c r="C6" s="5">
        <f t="shared" si="0"/>
        <v>-1.0838374634476389</v>
      </c>
      <c r="G6" s="2" t="s">
        <v>15</v>
      </c>
      <c r="H6" s="2">
        <f>AVERAGE(C:C)</f>
        <v>4.5796764833499967E-2</v>
      </c>
      <c r="I6" s="2"/>
    </row>
    <row r="7" spans="1:9" x14ac:dyDescent="0.2">
      <c r="A7" s="1">
        <v>42380</v>
      </c>
      <c r="B7">
        <v>1923.670044</v>
      </c>
      <c r="C7" s="5">
        <f t="shared" si="0"/>
        <v>8.5327230857741632E-2</v>
      </c>
      <c r="G7" s="2" t="s">
        <v>16</v>
      </c>
      <c r="H7" s="2">
        <f>_xlfn.STDEV.S(C3:C253)</f>
        <v>0.82054404429988903</v>
      </c>
      <c r="I7" s="2"/>
    </row>
    <row r="8" spans="1:9" x14ac:dyDescent="0.2">
      <c r="A8" s="1">
        <v>42381</v>
      </c>
      <c r="B8">
        <v>1938.6800539999999</v>
      </c>
      <c r="C8" s="5">
        <f t="shared" si="0"/>
        <v>0.78027986383718761</v>
      </c>
      <c r="G8" s="2" t="s">
        <v>17</v>
      </c>
      <c r="H8" s="2">
        <v>251</v>
      </c>
      <c r="I8" s="2"/>
    </row>
    <row r="9" spans="1:9" x14ac:dyDescent="0.2">
      <c r="A9" s="1">
        <v>42382</v>
      </c>
      <c r="B9">
        <v>1890.280029</v>
      </c>
      <c r="C9" s="5">
        <f t="shared" si="0"/>
        <v>-2.4965452602732516</v>
      </c>
      <c r="G9" s="2"/>
      <c r="H9" s="2"/>
      <c r="I9" s="2"/>
    </row>
    <row r="10" spans="1:9" x14ac:dyDescent="0.2">
      <c r="A10" s="1">
        <v>42383</v>
      </c>
      <c r="B10">
        <v>1921.839966</v>
      </c>
      <c r="C10" s="5">
        <f t="shared" si="0"/>
        <v>1.6695905641396367</v>
      </c>
    </row>
    <row r="11" spans="1:9" x14ac:dyDescent="0.2">
      <c r="A11" s="1">
        <v>42384</v>
      </c>
      <c r="B11">
        <v>1880.329956</v>
      </c>
      <c r="C11" s="5">
        <f t="shared" si="0"/>
        <v>-2.1599098121783968</v>
      </c>
      <c r="G11" s="2" t="s">
        <v>18</v>
      </c>
      <c r="H11" s="2">
        <f>(H6-H4)/(H7/SQRT(H8))</f>
        <v>0.88423919748956503</v>
      </c>
    </row>
    <row r="12" spans="1:9" x14ac:dyDescent="0.2">
      <c r="A12" s="1">
        <v>42388</v>
      </c>
      <c r="B12">
        <v>1881.329956</v>
      </c>
      <c r="C12" s="5">
        <f t="shared" si="0"/>
        <v>5.3182155440808176E-2</v>
      </c>
    </row>
    <row r="13" spans="1:9" x14ac:dyDescent="0.2">
      <c r="A13" s="1">
        <v>42389</v>
      </c>
      <c r="B13">
        <v>1859.329956</v>
      </c>
      <c r="C13" s="5">
        <f t="shared" si="0"/>
        <v>-1.1693855152753438</v>
      </c>
      <c r="G13" s="2" t="s">
        <v>19</v>
      </c>
      <c r="H13" s="2">
        <v>1.6212899999999999</v>
      </c>
    </row>
    <row r="14" spans="1:9" x14ac:dyDescent="0.2">
      <c r="A14" s="1">
        <v>42390</v>
      </c>
      <c r="B14">
        <v>1868.98999</v>
      </c>
      <c r="C14" s="5">
        <f t="shared" si="0"/>
        <v>0.51954382646433284</v>
      </c>
    </row>
    <row r="15" spans="1:9" x14ac:dyDescent="0.2">
      <c r="A15" s="1">
        <v>42391</v>
      </c>
      <c r="B15">
        <v>1906.900024</v>
      </c>
      <c r="C15" s="5">
        <f t="shared" si="0"/>
        <v>2.0283700930896904</v>
      </c>
    </row>
    <row r="16" spans="1:9" x14ac:dyDescent="0.2">
      <c r="A16" s="1">
        <v>42394</v>
      </c>
      <c r="B16">
        <v>1877.079956</v>
      </c>
      <c r="C16" s="5">
        <f t="shared" si="0"/>
        <v>-1.5637981868314241</v>
      </c>
    </row>
    <row r="17" spans="1:3" x14ac:dyDescent="0.2">
      <c r="A17" s="1">
        <v>42395</v>
      </c>
      <c r="B17">
        <v>1903.630005</v>
      </c>
      <c r="C17" s="5">
        <f t="shared" si="0"/>
        <v>1.414433568220359</v>
      </c>
    </row>
    <row r="18" spans="1:3" x14ac:dyDescent="0.2">
      <c r="A18" s="1">
        <v>42396</v>
      </c>
      <c r="B18">
        <v>1882.9499510000001</v>
      </c>
      <c r="C18" s="5">
        <f t="shared" si="0"/>
        <v>-1.0863483946818713</v>
      </c>
    </row>
    <row r="19" spans="1:3" x14ac:dyDescent="0.2">
      <c r="A19" s="1">
        <v>42397</v>
      </c>
      <c r="B19">
        <v>1893.3599850000001</v>
      </c>
      <c r="C19" s="5">
        <f t="shared" si="0"/>
        <v>0.55285771108634185</v>
      </c>
    </row>
    <row r="20" spans="1:3" x14ac:dyDescent="0.2">
      <c r="A20" s="1">
        <v>42398</v>
      </c>
      <c r="B20">
        <v>1940.23999</v>
      </c>
      <c r="C20" s="5">
        <f t="shared" si="0"/>
        <v>2.4760217481832956</v>
      </c>
    </row>
    <row r="21" spans="1:3" x14ac:dyDescent="0.2">
      <c r="A21" s="1">
        <v>42401</v>
      </c>
      <c r="B21">
        <v>1939.380005</v>
      </c>
      <c r="C21" s="5">
        <f t="shared" si="0"/>
        <v>-4.432364060283344E-2</v>
      </c>
    </row>
    <row r="22" spans="1:3" x14ac:dyDescent="0.2">
      <c r="A22" s="1">
        <v>42402</v>
      </c>
      <c r="B22">
        <v>1903.030029</v>
      </c>
      <c r="C22" s="5">
        <f t="shared" si="0"/>
        <v>-1.8743091042644822</v>
      </c>
    </row>
    <row r="23" spans="1:3" x14ac:dyDescent="0.2">
      <c r="A23" s="1">
        <v>42403</v>
      </c>
      <c r="B23">
        <v>1912.530029</v>
      </c>
      <c r="C23" s="5">
        <f t="shared" si="0"/>
        <v>0.49920389353982181</v>
      </c>
    </row>
    <row r="24" spans="1:3" x14ac:dyDescent="0.2">
      <c r="A24" s="1">
        <v>42404</v>
      </c>
      <c r="B24">
        <v>1915.4499510000001</v>
      </c>
      <c r="C24" s="5">
        <f t="shared" si="0"/>
        <v>0.15267326294096281</v>
      </c>
    </row>
    <row r="25" spans="1:3" x14ac:dyDescent="0.2">
      <c r="A25" s="1">
        <v>42405</v>
      </c>
      <c r="B25">
        <v>1880.0500489999999</v>
      </c>
      <c r="C25" s="5">
        <f t="shared" si="0"/>
        <v>-1.8481246133065947</v>
      </c>
    </row>
    <row r="26" spans="1:3" x14ac:dyDescent="0.2">
      <c r="A26" s="1">
        <v>42408</v>
      </c>
      <c r="B26">
        <v>1853.4399410000001</v>
      </c>
      <c r="C26" s="5">
        <f t="shared" si="0"/>
        <v>-1.4153935962584503</v>
      </c>
    </row>
    <row r="27" spans="1:3" x14ac:dyDescent="0.2">
      <c r="A27" s="1">
        <v>42409</v>
      </c>
      <c r="B27">
        <v>1852.209961</v>
      </c>
      <c r="C27" s="5">
        <f t="shared" si="0"/>
        <v>-6.6362010054474632E-2</v>
      </c>
    </row>
    <row r="28" spans="1:3" x14ac:dyDescent="0.2">
      <c r="A28" s="1">
        <v>42410</v>
      </c>
      <c r="B28">
        <v>1851.8599850000001</v>
      </c>
      <c r="C28" s="5">
        <f t="shared" si="0"/>
        <v>-1.8895050095239695E-2</v>
      </c>
    </row>
    <row r="29" spans="1:3" x14ac:dyDescent="0.2">
      <c r="A29" s="1">
        <v>42411</v>
      </c>
      <c r="B29">
        <v>1829.079956</v>
      </c>
      <c r="C29" s="5">
        <f t="shared" si="0"/>
        <v>-1.2301161634528224</v>
      </c>
    </row>
    <row r="30" spans="1:3" x14ac:dyDescent="0.2">
      <c r="A30" s="1">
        <v>42412</v>
      </c>
      <c r="B30">
        <v>1864.780029</v>
      </c>
      <c r="C30" s="5">
        <f t="shared" si="0"/>
        <v>1.9518049434029212</v>
      </c>
    </row>
    <row r="31" spans="1:3" x14ac:dyDescent="0.2">
      <c r="A31" s="1">
        <v>42416</v>
      </c>
      <c r="B31">
        <v>1895.579956</v>
      </c>
      <c r="C31" s="5">
        <f t="shared" si="0"/>
        <v>1.651665425466653</v>
      </c>
    </row>
    <row r="32" spans="1:3" x14ac:dyDescent="0.2">
      <c r="A32" s="1">
        <v>42417</v>
      </c>
      <c r="B32">
        <v>1926.8199460000001</v>
      </c>
      <c r="C32" s="5">
        <f t="shared" si="0"/>
        <v>1.6480439087318579</v>
      </c>
    </row>
    <row r="33" spans="1:3" x14ac:dyDescent="0.2">
      <c r="A33" s="1">
        <v>42418</v>
      </c>
      <c r="B33">
        <v>1917.829956</v>
      </c>
      <c r="C33" s="5">
        <f t="shared" si="0"/>
        <v>-0.46657135860892912</v>
      </c>
    </row>
    <row r="34" spans="1:3" x14ac:dyDescent="0.2">
      <c r="A34" s="1">
        <v>42419</v>
      </c>
      <c r="B34">
        <v>1917.780029</v>
      </c>
      <c r="C34" s="5">
        <f t="shared" si="0"/>
        <v>-2.6033069221714222E-3</v>
      </c>
    </row>
    <row r="35" spans="1:3" x14ac:dyDescent="0.2">
      <c r="A35" s="1">
        <v>42422</v>
      </c>
      <c r="B35">
        <v>1945.5</v>
      </c>
      <c r="C35" s="5">
        <f t="shared" si="0"/>
        <v>1.4454197343192787</v>
      </c>
    </row>
    <row r="36" spans="1:3" x14ac:dyDescent="0.2">
      <c r="A36" s="1">
        <v>42423</v>
      </c>
      <c r="B36">
        <v>1921.2700199999999</v>
      </c>
      <c r="C36" s="5">
        <f t="shared" si="0"/>
        <v>-1.2454371626831184</v>
      </c>
    </row>
    <row r="37" spans="1:3" x14ac:dyDescent="0.2">
      <c r="A37" s="1">
        <v>42424</v>
      </c>
      <c r="B37">
        <v>1929.8000489999999</v>
      </c>
      <c r="C37" s="5">
        <f t="shared" si="0"/>
        <v>0.443978665736949</v>
      </c>
    </row>
    <row r="38" spans="1:3" x14ac:dyDescent="0.2">
      <c r="A38" s="1">
        <v>42425</v>
      </c>
      <c r="B38">
        <v>1951.6999510000001</v>
      </c>
      <c r="C38" s="5">
        <f t="shared" si="0"/>
        <v>1.134827518081388</v>
      </c>
    </row>
    <row r="39" spans="1:3" x14ac:dyDescent="0.2">
      <c r="A39" s="1">
        <v>42426</v>
      </c>
      <c r="B39">
        <v>1948.0500489999999</v>
      </c>
      <c r="C39" s="5">
        <f t="shared" si="0"/>
        <v>-0.18701143063153722</v>
      </c>
    </row>
    <row r="40" spans="1:3" x14ac:dyDescent="0.2">
      <c r="A40" s="1">
        <v>42429</v>
      </c>
      <c r="B40">
        <v>1932.2299800000001</v>
      </c>
      <c r="C40" s="5">
        <f t="shared" si="0"/>
        <v>-0.81209766700403063</v>
      </c>
    </row>
    <row r="41" spans="1:3" x14ac:dyDescent="0.2">
      <c r="A41" s="1">
        <v>42430</v>
      </c>
      <c r="B41">
        <v>1978.349976</v>
      </c>
      <c r="C41" s="5">
        <f t="shared" si="0"/>
        <v>2.3868792264572924</v>
      </c>
    </row>
    <row r="42" spans="1:3" x14ac:dyDescent="0.2">
      <c r="A42" s="1">
        <v>42431</v>
      </c>
      <c r="B42">
        <v>1986.4499510000001</v>
      </c>
      <c r="C42" s="5">
        <f t="shared" si="0"/>
        <v>0.40943084379728001</v>
      </c>
    </row>
    <row r="43" spans="1:3" x14ac:dyDescent="0.2">
      <c r="A43" s="1">
        <v>42432</v>
      </c>
      <c r="B43">
        <v>1993.400024</v>
      </c>
      <c r="C43" s="5">
        <f t="shared" si="0"/>
        <v>0.34987405529654719</v>
      </c>
    </row>
    <row r="44" spans="1:3" x14ac:dyDescent="0.2">
      <c r="A44" s="1">
        <v>42433</v>
      </c>
      <c r="B44">
        <v>1999.98999</v>
      </c>
      <c r="C44" s="5">
        <f t="shared" si="0"/>
        <v>0.33058924052666733</v>
      </c>
    </row>
    <row r="45" spans="1:3" x14ac:dyDescent="0.2">
      <c r="A45" s="1">
        <v>42436</v>
      </c>
      <c r="B45">
        <v>2001.76001</v>
      </c>
      <c r="C45" s="5">
        <f t="shared" si="0"/>
        <v>8.8501442949718526E-2</v>
      </c>
    </row>
    <row r="46" spans="1:3" x14ac:dyDescent="0.2">
      <c r="A46" s="1">
        <v>42437</v>
      </c>
      <c r="B46">
        <v>1979.26001</v>
      </c>
      <c r="C46" s="5">
        <f t="shared" si="0"/>
        <v>-1.1240108648189051</v>
      </c>
    </row>
    <row r="47" spans="1:3" x14ac:dyDescent="0.2">
      <c r="A47" s="1">
        <v>42438</v>
      </c>
      <c r="B47">
        <v>1989.26001</v>
      </c>
      <c r="C47" s="5">
        <f t="shared" si="0"/>
        <v>0.50523932931883975</v>
      </c>
    </row>
    <row r="48" spans="1:3" x14ac:dyDescent="0.2">
      <c r="A48" s="1">
        <v>42439</v>
      </c>
      <c r="B48">
        <v>1989.5699460000001</v>
      </c>
      <c r="C48" s="5">
        <f t="shared" si="0"/>
        <v>1.5580467030054408E-2</v>
      </c>
    </row>
    <row r="49" spans="1:3" x14ac:dyDescent="0.2">
      <c r="A49" s="1">
        <v>42440</v>
      </c>
      <c r="B49">
        <v>2022.1899410000001</v>
      </c>
      <c r="C49" s="5">
        <f t="shared" si="0"/>
        <v>1.6395500477669567</v>
      </c>
    </row>
    <row r="50" spans="1:3" x14ac:dyDescent="0.2">
      <c r="A50" s="1">
        <v>42443</v>
      </c>
      <c r="B50">
        <v>2019.6400149999999</v>
      </c>
      <c r="C50" s="5">
        <f t="shared" si="0"/>
        <v>-0.12609725467921024</v>
      </c>
    </row>
    <row r="51" spans="1:3" x14ac:dyDescent="0.2">
      <c r="A51" s="1">
        <v>42444</v>
      </c>
      <c r="B51">
        <v>2015.9300539999999</v>
      </c>
      <c r="C51" s="5">
        <f t="shared" si="0"/>
        <v>-0.18369417185468179</v>
      </c>
    </row>
    <row r="52" spans="1:3" x14ac:dyDescent="0.2">
      <c r="A52" s="1">
        <v>42445</v>
      </c>
      <c r="B52">
        <v>2027.219971</v>
      </c>
      <c r="C52" s="5">
        <f t="shared" si="0"/>
        <v>0.56003515487051025</v>
      </c>
    </row>
    <row r="53" spans="1:3" x14ac:dyDescent="0.2">
      <c r="A53" s="1">
        <v>42446</v>
      </c>
      <c r="B53">
        <v>2040.589966</v>
      </c>
      <c r="C53" s="5">
        <f t="shared" si="0"/>
        <v>0.65952364278479259</v>
      </c>
    </row>
    <row r="54" spans="1:3" x14ac:dyDescent="0.2">
      <c r="A54" s="1">
        <v>42447</v>
      </c>
      <c r="B54">
        <v>2049.580078</v>
      </c>
      <c r="C54" s="5">
        <f t="shared" si="0"/>
        <v>0.44056435392665039</v>
      </c>
    </row>
    <row r="55" spans="1:3" x14ac:dyDescent="0.2">
      <c r="A55" s="1">
        <v>42450</v>
      </c>
      <c r="B55">
        <v>2051.6000979999999</v>
      </c>
      <c r="C55" s="5">
        <f t="shared" si="0"/>
        <v>9.8557749545023207E-2</v>
      </c>
    </row>
    <row r="56" spans="1:3" x14ac:dyDescent="0.2">
      <c r="A56" s="1">
        <v>42451</v>
      </c>
      <c r="B56">
        <v>2049.8000489999999</v>
      </c>
      <c r="C56" s="5">
        <f t="shared" si="0"/>
        <v>-8.7738785046594631E-2</v>
      </c>
    </row>
    <row r="57" spans="1:3" x14ac:dyDescent="0.2">
      <c r="A57" s="1">
        <v>42452</v>
      </c>
      <c r="B57">
        <v>2036.709961</v>
      </c>
      <c r="C57" s="5">
        <f t="shared" si="0"/>
        <v>-0.63860316553246044</v>
      </c>
    </row>
    <row r="58" spans="1:3" x14ac:dyDescent="0.2">
      <c r="A58" s="1">
        <v>42453</v>
      </c>
      <c r="B58">
        <v>2035.9399410000001</v>
      </c>
      <c r="C58" s="5">
        <f t="shared" si="0"/>
        <v>-3.7807052292406954E-2</v>
      </c>
    </row>
    <row r="59" spans="1:3" x14ac:dyDescent="0.2">
      <c r="A59" s="1">
        <v>42457</v>
      </c>
      <c r="B59">
        <v>2037.0500489999999</v>
      </c>
      <c r="C59" s="5">
        <f t="shared" si="0"/>
        <v>5.4525576989987182E-2</v>
      </c>
    </row>
    <row r="60" spans="1:3" x14ac:dyDescent="0.2">
      <c r="A60" s="1">
        <v>42458</v>
      </c>
      <c r="B60">
        <v>2055.01001</v>
      </c>
      <c r="C60" s="5">
        <f t="shared" si="0"/>
        <v>0.8816651809226127</v>
      </c>
    </row>
    <row r="61" spans="1:3" x14ac:dyDescent="0.2">
      <c r="A61" s="1">
        <v>42459</v>
      </c>
      <c r="B61">
        <v>2063.9499510000001</v>
      </c>
      <c r="C61" s="5">
        <f t="shared" si="0"/>
        <v>0.4350315062455628</v>
      </c>
    </row>
    <row r="62" spans="1:3" x14ac:dyDescent="0.2">
      <c r="A62" s="1">
        <v>42460</v>
      </c>
      <c r="B62">
        <v>2059.73999</v>
      </c>
      <c r="C62" s="5">
        <f t="shared" si="0"/>
        <v>-0.20397592480187135</v>
      </c>
    </row>
    <row r="63" spans="1:3" x14ac:dyDescent="0.2">
      <c r="A63" s="1">
        <v>42461</v>
      </c>
      <c r="B63">
        <v>2072.780029</v>
      </c>
      <c r="C63" s="5">
        <f t="shared" si="0"/>
        <v>0.63309150976866635</v>
      </c>
    </row>
    <row r="64" spans="1:3" x14ac:dyDescent="0.2">
      <c r="A64" s="1">
        <v>42464</v>
      </c>
      <c r="B64">
        <v>2066.1298830000001</v>
      </c>
      <c r="C64" s="5">
        <f t="shared" si="0"/>
        <v>-0.32083221118298172</v>
      </c>
    </row>
    <row r="65" spans="1:3" x14ac:dyDescent="0.2">
      <c r="A65" s="1">
        <v>42465</v>
      </c>
      <c r="B65">
        <v>2045.170044</v>
      </c>
      <c r="C65" s="5">
        <f t="shared" si="0"/>
        <v>-1.0144492450574609</v>
      </c>
    </row>
    <row r="66" spans="1:3" x14ac:dyDescent="0.2">
      <c r="A66" s="1">
        <v>42466</v>
      </c>
      <c r="B66">
        <v>2066.6599120000001</v>
      </c>
      <c r="C66" s="5">
        <f t="shared" si="0"/>
        <v>1.0507619189438957</v>
      </c>
    </row>
    <row r="67" spans="1:3" x14ac:dyDescent="0.2">
      <c r="A67" s="1">
        <v>42467</v>
      </c>
      <c r="B67">
        <v>2041.910034</v>
      </c>
      <c r="C67" s="5">
        <f t="shared" si="0"/>
        <v>-1.1975786560861146</v>
      </c>
    </row>
    <row r="68" spans="1:3" x14ac:dyDescent="0.2">
      <c r="A68" s="1">
        <v>42468</v>
      </c>
      <c r="B68">
        <v>2047.599976</v>
      </c>
      <c r="C68" s="5">
        <f t="shared" ref="C68:C131" si="1">((B68-B67)/B67)*100</f>
        <v>0.27865782063148298</v>
      </c>
    </row>
    <row r="69" spans="1:3" x14ac:dyDescent="0.2">
      <c r="A69" s="1">
        <v>42471</v>
      </c>
      <c r="B69">
        <v>2041.98999</v>
      </c>
      <c r="C69" s="5">
        <f t="shared" si="1"/>
        <v>-0.27397861231465137</v>
      </c>
    </row>
    <row r="70" spans="1:3" x14ac:dyDescent="0.2">
      <c r="A70" s="1">
        <v>42472</v>
      </c>
      <c r="B70">
        <v>2061.719971</v>
      </c>
      <c r="C70" s="5">
        <f t="shared" si="1"/>
        <v>0.9662134044055698</v>
      </c>
    </row>
    <row r="71" spans="1:3" x14ac:dyDescent="0.2">
      <c r="A71" s="1">
        <v>42473</v>
      </c>
      <c r="B71">
        <v>2082.419922</v>
      </c>
      <c r="C71" s="5">
        <f t="shared" si="1"/>
        <v>1.0040137017230288</v>
      </c>
    </row>
    <row r="72" spans="1:3" x14ac:dyDescent="0.2">
      <c r="A72" s="1">
        <v>42474</v>
      </c>
      <c r="B72">
        <v>2082.780029</v>
      </c>
      <c r="C72" s="5">
        <f t="shared" si="1"/>
        <v>1.7292717774910475E-2</v>
      </c>
    </row>
    <row r="73" spans="1:3" x14ac:dyDescent="0.2">
      <c r="A73" s="1">
        <v>42475</v>
      </c>
      <c r="B73">
        <v>2080.7299800000001</v>
      </c>
      <c r="C73" s="5">
        <f t="shared" si="1"/>
        <v>-9.8428493237676634E-2</v>
      </c>
    </row>
    <row r="74" spans="1:3" x14ac:dyDescent="0.2">
      <c r="A74" s="1">
        <v>42478</v>
      </c>
      <c r="B74">
        <v>2094.3400879999999</v>
      </c>
      <c r="C74" s="5">
        <f t="shared" si="1"/>
        <v>0.65410255683439789</v>
      </c>
    </row>
    <row r="75" spans="1:3" x14ac:dyDescent="0.2">
      <c r="A75" s="1">
        <v>42479</v>
      </c>
      <c r="B75">
        <v>2100.8000489999999</v>
      </c>
      <c r="C75" s="5">
        <f t="shared" si="1"/>
        <v>0.30844851975158399</v>
      </c>
    </row>
    <row r="76" spans="1:3" x14ac:dyDescent="0.2">
      <c r="A76" s="1">
        <v>42480</v>
      </c>
      <c r="B76">
        <v>2102.3999020000001</v>
      </c>
      <c r="C76" s="5">
        <f t="shared" si="1"/>
        <v>7.6154463189474469E-2</v>
      </c>
    </row>
    <row r="77" spans="1:3" x14ac:dyDescent="0.2">
      <c r="A77" s="1">
        <v>42481</v>
      </c>
      <c r="B77">
        <v>2091.4799800000001</v>
      </c>
      <c r="C77" s="5">
        <f t="shared" si="1"/>
        <v>-0.51940270685952694</v>
      </c>
    </row>
    <row r="78" spans="1:3" x14ac:dyDescent="0.2">
      <c r="A78" s="1">
        <v>42482</v>
      </c>
      <c r="B78">
        <v>2091.580078</v>
      </c>
      <c r="C78" s="5">
        <f t="shared" si="1"/>
        <v>4.7859889148873895E-3</v>
      </c>
    </row>
    <row r="79" spans="1:3" x14ac:dyDescent="0.2">
      <c r="A79" s="1">
        <v>42485</v>
      </c>
      <c r="B79">
        <v>2087.790039</v>
      </c>
      <c r="C79" s="5">
        <f t="shared" si="1"/>
        <v>-0.18120458498648881</v>
      </c>
    </row>
    <row r="80" spans="1:3" x14ac:dyDescent="0.2">
      <c r="A80" s="1">
        <v>42486</v>
      </c>
      <c r="B80">
        <v>2091.6999510000001</v>
      </c>
      <c r="C80" s="5">
        <f t="shared" si="1"/>
        <v>0.18727515348587581</v>
      </c>
    </row>
    <row r="81" spans="1:3" x14ac:dyDescent="0.2">
      <c r="A81" s="1">
        <v>42487</v>
      </c>
      <c r="B81">
        <v>2095.1499020000001</v>
      </c>
      <c r="C81" s="5">
        <f t="shared" si="1"/>
        <v>0.16493527182762052</v>
      </c>
    </row>
    <row r="82" spans="1:3" x14ac:dyDescent="0.2">
      <c r="A82" s="1">
        <v>42488</v>
      </c>
      <c r="B82">
        <v>2075.8100589999999</v>
      </c>
      <c r="C82" s="5">
        <f t="shared" si="1"/>
        <v>-0.92307681572276357</v>
      </c>
    </row>
    <row r="83" spans="1:3" x14ac:dyDescent="0.2">
      <c r="A83" s="1">
        <v>42489</v>
      </c>
      <c r="B83">
        <v>2065.3000489999999</v>
      </c>
      <c r="C83" s="5">
        <f t="shared" si="1"/>
        <v>-0.50630884817385724</v>
      </c>
    </row>
    <row r="84" spans="1:3" x14ac:dyDescent="0.2">
      <c r="A84" s="1">
        <v>42492</v>
      </c>
      <c r="B84">
        <v>2081.429932</v>
      </c>
      <c r="C84" s="5">
        <f t="shared" si="1"/>
        <v>0.78099465536787316</v>
      </c>
    </row>
    <row r="85" spans="1:3" x14ac:dyDescent="0.2">
      <c r="A85" s="1">
        <v>42493</v>
      </c>
      <c r="B85">
        <v>2063.3701169999999</v>
      </c>
      <c r="C85" s="5">
        <f t="shared" si="1"/>
        <v>-0.86766384601026625</v>
      </c>
    </row>
    <row r="86" spans="1:3" x14ac:dyDescent="0.2">
      <c r="A86" s="1">
        <v>42494</v>
      </c>
      <c r="B86">
        <v>2051.1201169999999</v>
      </c>
      <c r="C86" s="5">
        <f t="shared" si="1"/>
        <v>-0.59368893147539958</v>
      </c>
    </row>
    <row r="87" spans="1:3" x14ac:dyDescent="0.2">
      <c r="A87" s="1">
        <v>42495</v>
      </c>
      <c r="B87">
        <v>2050.6298830000001</v>
      </c>
      <c r="C87" s="5">
        <f t="shared" si="1"/>
        <v>-2.3900794299501919E-2</v>
      </c>
    </row>
    <row r="88" spans="1:3" x14ac:dyDescent="0.2">
      <c r="A88" s="1">
        <v>42496</v>
      </c>
      <c r="B88">
        <v>2057.139893</v>
      </c>
      <c r="C88" s="5">
        <f t="shared" si="1"/>
        <v>0.31746391945074198</v>
      </c>
    </row>
    <row r="89" spans="1:3" x14ac:dyDescent="0.2">
      <c r="A89" s="1">
        <v>42499</v>
      </c>
      <c r="B89">
        <v>2058.6899410000001</v>
      </c>
      <c r="C89" s="5">
        <f t="shared" si="1"/>
        <v>7.5349664127098856E-2</v>
      </c>
    </row>
    <row r="90" spans="1:3" x14ac:dyDescent="0.2">
      <c r="A90" s="1">
        <v>42500</v>
      </c>
      <c r="B90">
        <v>2084.389893</v>
      </c>
      <c r="C90" s="5">
        <f t="shared" si="1"/>
        <v>1.2483643839788858</v>
      </c>
    </row>
    <row r="91" spans="1:3" x14ac:dyDescent="0.2">
      <c r="A91" s="1">
        <v>42501</v>
      </c>
      <c r="B91">
        <v>2064.459961</v>
      </c>
      <c r="C91" s="5">
        <f t="shared" si="1"/>
        <v>-0.95615182490236761</v>
      </c>
    </row>
    <row r="92" spans="1:3" x14ac:dyDescent="0.2">
      <c r="A92" s="1">
        <v>42502</v>
      </c>
      <c r="B92">
        <v>2064.110107</v>
      </c>
      <c r="C92" s="5">
        <f t="shared" si="1"/>
        <v>-1.6946514178486909E-2</v>
      </c>
    </row>
    <row r="93" spans="1:3" x14ac:dyDescent="0.2">
      <c r="A93" s="1">
        <v>42503</v>
      </c>
      <c r="B93">
        <v>2046.6099850000001</v>
      </c>
      <c r="C93" s="5">
        <f t="shared" si="1"/>
        <v>-0.84782889927489324</v>
      </c>
    </row>
    <row r="94" spans="1:3" x14ac:dyDescent="0.2">
      <c r="A94" s="1">
        <v>42506</v>
      </c>
      <c r="B94">
        <v>2066.6599120000001</v>
      </c>
      <c r="C94" s="5">
        <f t="shared" si="1"/>
        <v>0.97966525849819031</v>
      </c>
    </row>
    <row r="95" spans="1:3" x14ac:dyDescent="0.2">
      <c r="A95" s="1">
        <v>42507</v>
      </c>
      <c r="B95">
        <v>2047.209961</v>
      </c>
      <c r="C95" s="5">
        <f t="shared" si="1"/>
        <v>-0.94112973726661486</v>
      </c>
    </row>
    <row r="96" spans="1:3" x14ac:dyDescent="0.2">
      <c r="A96" s="1">
        <v>42508</v>
      </c>
      <c r="B96">
        <v>2047.630005</v>
      </c>
      <c r="C96" s="5">
        <f t="shared" si="1"/>
        <v>2.0517875938566795E-2</v>
      </c>
    </row>
    <row r="97" spans="1:3" x14ac:dyDescent="0.2">
      <c r="A97" s="1">
        <v>42509</v>
      </c>
      <c r="B97">
        <v>2040.040039</v>
      </c>
      <c r="C97" s="5">
        <f t="shared" si="1"/>
        <v>-0.37067077457677733</v>
      </c>
    </row>
    <row r="98" spans="1:3" x14ac:dyDescent="0.2">
      <c r="A98" s="1">
        <v>42510</v>
      </c>
      <c r="B98">
        <v>2052.320068</v>
      </c>
      <c r="C98" s="5">
        <f t="shared" si="1"/>
        <v>0.6019503914256269</v>
      </c>
    </row>
    <row r="99" spans="1:3" x14ac:dyDescent="0.2">
      <c r="A99" s="1">
        <v>42513</v>
      </c>
      <c r="B99">
        <v>2048.040039</v>
      </c>
      <c r="C99" s="5">
        <f t="shared" si="1"/>
        <v>-0.20854588262009888</v>
      </c>
    </row>
    <row r="100" spans="1:3" x14ac:dyDescent="0.2">
      <c r="A100" s="1">
        <v>42514</v>
      </c>
      <c r="B100">
        <v>2076.0600589999999</v>
      </c>
      <c r="C100" s="5">
        <f t="shared" si="1"/>
        <v>1.3681382915580749</v>
      </c>
    </row>
    <row r="101" spans="1:3" x14ac:dyDescent="0.2">
      <c r="A101" s="1">
        <v>42515</v>
      </c>
      <c r="B101">
        <v>2090.540039</v>
      </c>
      <c r="C101" s="5">
        <f t="shared" si="1"/>
        <v>0.69747404162164794</v>
      </c>
    </row>
    <row r="102" spans="1:3" x14ac:dyDescent="0.2">
      <c r="A102" s="1">
        <v>42516</v>
      </c>
      <c r="B102">
        <v>2090.1000979999999</v>
      </c>
      <c r="C102" s="5">
        <f t="shared" si="1"/>
        <v>-2.1044370918173544E-2</v>
      </c>
    </row>
    <row r="103" spans="1:3" x14ac:dyDescent="0.2">
      <c r="A103" s="1">
        <v>42517</v>
      </c>
      <c r="B103">
        <v>2099.0600589999999</v>
      </c>
      <c r="C103" s="5">
        <f t="shared" si="1"/>
        <v>0.42868573656226977</v>
      </c>
    </row>
    <row r="104" spans="1:3" x14ac:dyDescent="0.2">
      <c r="A104" s="1">
        <v>42521</v>
      </c>
      <c r="B104">
        <v>2096.9499510000001</v>
      </c>
      <c r="C104" s="5">
        <f t="shared" si="1"/>
        <v>-0.10052632800821898</v>
      </c>
    </row>
    <row r="105" spans="1:3" x14ac:dyDescent="0.2">
      <c r="A105" s="1">
        <v>42522</v>
      </c>
      <c r="B105">
        <v>2099.330078</v>
      </c>
      <c r="C105" s="5">
        <f t="shared" si="1"/>
        <v>0.11350423498972209</v>
      </c>
    </row>
    <row r="106" spans="1:3" x14ac:dyDescent="0.2">
      <c r="A106" s="1">
        <v>42523</v>
      </c>
      <c r="B106">
        <v>2105.26001</v>
      </c>
      <c r="C106" s="5">
        <f t="shared" si="1"/>
        <v>0.28246782448091079</v>
      </c>
    </row>
    <row r="107" spans="1:3" x14ac:dyDescent="0.2">
      <c r="A107" s="1">
        <v>42524</v>
      </c>
      <c r="B107">
        <v>2099.1298830000001</v>
      </c>
      <c r="C107" s="5">
        <f t="shared" si="1"/>
        <v>-0.29118146788908522</v>
      </c>
    </row>
    <row r="108" spans="1:3" x14ac:dyDescent="0.2">
      <c r="A108" s="1">
        <v>42527</v>
      </c>
      <c r="B108">
        <v>2109.4099120000001</v>
      </c>
      <c r="C108" s="5">
        <f t="shared" si="1"/>
        <v>0.4897281051188776</v>
      </c>
    </row>
    <row r="109" spans="1:3" x14ac:dyDescent="0.2">
      <c r="A109" s="1">
        <v>42528</v>
      </c>
      <c r="B109">
        <v>2112.1298830000001</v>
      </c>
      <c r="C109" s="5">
        <f t="shared" si="1"/>
        <v>0.12894463918684701</v>
      </c>
    </row>
    <row r="110" spans="1:3" x14ac:dyDescent="0.2">
      <c r="A110" s="1">
        <v>42529</v>
      </c>
      <c r="B110">
        <v>2119.1201169999999</v>
      </c>
      <c r="C110" s="5">
        <f t="shared" si="1"/>
        <v>0.33095663558678379</v>
      </c>
    </row>
    <row r="111" spans="1:3" x14ac:dyDescent="0.2">
      <c r="A111" s="1">
        <v>42530</v>
      </c>
      <c r="B111">
        <v>2115.4799800000001</v>
      </c>
      <c r="C111" s="5">
        <f t="shared" si="1"/>
        <v>-0.17177586918259</v>
      </c>
    </row>
    <row r="112" spans="1:3" x14ac:dyDescent="0.2">
      <c r="A112" s="1">
        <v>42531</v>
      </c>
      <c r="B112">
        <v>2096.070068</v>
      </c>
      <c r="C112" s="5">
        <f t="shared" si="1"/>
        <v>-0.91751811331252009</v>
      </c>
    </row>
    <row r="113" spans="1:3" x14ac:dyDescent="0.2">
      <c r="A113" s="1">
        <v>42534</v>
      </c>
      <c r="B113">
        <v>2079.0600589999999</v>
      </c>
      <c r="C113" s="5">
        <f t="shared" si="1"/>
        <v>-0.81151910232802782</v>
      </c>
    </row>
    <row r="114" spans="1:3" x14ac:dyDescent="0.2">
      <c r="A114" s="1">
        <v>42535</v>
      </c>
      <c r="B114">
        <v>2075.320068</v>
      </c>
      <c r="C114" s="5">
        <f t="shared" si="1"/>
        <v>-0.17988855029992756</v>
      </c>
    </row>
    <row r="115" spans="1:3" x14ac:dyDescent="0.2">
      <c r="A115" s="1">
        <v>42536</v>
      </c>
      <c r="B115">
        <v>2071.5</v>
      </c>
      <c r="C115" s="5">
        <f t="shared" si="1"/>
        <v>-0.18407126972377891</v>
      </c>
    </row>
    <row r="116" spans="1:3" x14ac:dyDescent="0.2">
      <c r="A116" s="1">
        <v>42537</v>
      </c>
      <c r="B116">
        <v>2077.98999</v>
      </c>
      <c r="C116" s="5">
        <f t="shared" si="1"/>
        <v>0.31329905865315155</v>
      </c>
    </row>
    <row r="117" spans="1:3" x14ac:dyDescent="0.2">
      <c r="A117" s="1">
        <v>42538</v>
      </c>
      <c r="B117">
        <v>2071.219971</v>
      </c>
      <c r="C117" s="5">
        <f t="shared" si="1"/>
        <v>-0.32579651646926588</v>
      </c>
    </row>
    <row r="118" spans="1:3" x14ac:dyDescent="0.2">
      <c r="A118" s="1">
        <v>42541</v>
      </c>
      <c r="B118">
        <v>2083.25</v>
      </c>
      <c r="C118" s="5">
        <f t="shared" si="1"/>
        <v>0.58081851123672912</v>
      </c>
    </row>
    <row r="119" spans="1:3" x14ac:dyDescent="0.2">
      <c r="A119" s="1">
        <v>42542</v>
      </c>
      <c r="B119">
        <v>2088.8999020000001</v>
      </c>
      <c r="C119" s="5">
        <f t="shared" si="1"/>
        <v>0.27120614424577516</v>
      </c>
    </row>
    <row r="120" spans="1:3" x14ac:dyDescent="0.2">
      <c r="A120" s="1">
        <v>42543</v>
      </c>
      <c r="B120">
        <v>2085.4499510000001</v>
      </c>
      <c r="C120" s="5">
        <f t="shared" si="1"/>
        <v>-0.16515635798043402</v>
      </c>
    </row>
    <row r="121" spans="1:3" x14ac:dyDescent="0.2">
      <c r="A121" s="1">
        <v>42544</v>
      </c>
      <c r="B121">
        <v>2113.320068</v>
      </c>
      <c r="C121" s="5">
        <f t="shared" si="1"/>
        <v>1.3364078570495475</v>
      </c>
    </row>
    <row r="122" spans="1:3" x14ac:dyDescent="0.2">
      <c r="A122" s="1">
        <v>42545</v>
      </c>
      <c r="B122">
        <v>2037.410034</v>
      </c>
      <c r="C122" s="5">
        <f t="shared" si="1"/>
        <v>-3.591979991551379</v>
      </c>
    </row>
    <row r="123" spans="1:3" x14ac:dyDescent="0.2">
      <c r="A123" s="1">
        <v>42548</v>
      </c>
      <c r="B123">
        <v>2000.540039</v>
      </c>
      <c r="C123" s="5">
        <f t="shared" si="1"/>
        <v>-1.809650212020111</v>
      </c>
    </row>
    <row r="124" spans="1:3" x14ac:dyDescent="0.2">
      <c r="A124" s="1">
        <v>42549</v>
      </c>
      <c r="B124">
        <v>2036.089966</v>
      </c>
      <c r="C124" s="5">
        <f t="shared" si="1"/>
        <v>1.7770165208875395</v>
      </c>
    </row>
    <row r="125" spans="1:3" x14ac:dyDescent="0.2">
      <c r="A125" s="1">
        <v>42550</v>
      </c>
      <c r="B125">
        <v>2070.7700199999999</v>
      </c>
      <c r="C125" s="5">
        <f t="shared" si="1"/>
        <v>1.7032672710494527</v>
      </c>
    </row>
    <row r="126" spans="1:3" x14ac:dyDescent="0.2">
      <c r="A126" s="1">
        <v>42551</v>
      </c>
      <c r="B126">
        <v>2098.860107</v>
      </c>
      <c r="C126" s="5">
        <f t="shared" si="1"/>
        <v>1.3565044272758036</v>
      </c>
    </row>
    <row r="127" spans="1:3" x14ac:dyDescent="0.2">
      <c r="A127" s="1">
        <v>42552</v>
      </c>
      <c r="B127">
        <v>2102.9499510000001</v>
      </c>
      <c r="C127" s="5">
        <f t="shared" si="1"/>
        <v>0.19486024753912218</v>
      </c>
    </row>
    <row r="128" spans="1:3" x14ac:dyDescent="0.2">
      <c r="A128" s="1">
        <v>42556</v>
      </c>
      <c r="B128">
        <v>2088.5500489999999</v>
      </c>
      <c r="C128" s="5">
        <f t="shared" si="1"/>
        <v>-0.68474772750310264</v>
      </c>
    </row>
    <row r="129" spans="1:3" x14ac:dyDescent="0.2">
      <c r="A129" s="1">
        <v>42557</v>
      </c>
      <c r="B129">
        <v>2099.7299800000001</v>
      </c>
      <c r="C129" s="5">
        <f t="shared" si="1"/>
        <v>0.53529629349093588</v>
      </c>
    </row>
    <row r="130" spans="1:3" x14ac:dyDescent="0.2">
      <c r="A130" s="1">
        <v>42558</v>
      </c>
      <c r="B130">
        <v>2097.8999020000001</v>
      </c>
      <c r="C130" s="5">
        <f t="shared" si="1"/>
        <v>-8.7157778258705326E-2</v>
      </c>
    </row>
    <row r="131" spans="1:3" x14ac:dyDescent="0.2">
      <c r="A131" s="1">
        <v>42559</v>
      </c>
      <c r="B131">
        <v>2129.8999020000001</v>
      </c>
      <c r="C131" s="5">
        <f t="shared" si="1"/>
        <v>1.5253349299217422</v>
      </c>
    </row>
    <row r="132" spans="1:3" x14ac:dyDescent="0.2">
      <c r="A132" s="1">
        <v>42562</v>
      </c>
      <c r="B132">
        <v>2137.1599120000001</v>
      </c>
      <c r="C132" s="5">
        <f t="shared" ref="C132:C195" si="2">((B132-B131)/B131)*100</f>
        <v>0.34086155847900335</v>
      </c>
    </row>
    <row r="133" spans="1:3" x14ac:dyDescent="0.2">
      <c r="A133" s="1">
        <v>42563</v>
      </c>
      <c r="B133">
        <v>2152.139893</v>
      </c>
      <c r="C133" s="5">
        <f t="shared" si="2"/>
        <v>0.70092934627345527</v>
      </c>
    </row>
    <row r="134" spans="1:3" x14ac:dyDescent="0.2">
      <c r="A134" s="1">
        <v>42564</v>
      </c>
      <c r="B134">
        <v>2152.429932</v>
      </c>
      <c r="C134" s="5">
        <f t="shared" si="2"/>
        <v>1.3476772627251275E-2</v>
      </c>
    </row>
    <row r="135" spans="1:3" x14ac:dyDescent="0.2">
      <c r="A135" s="1">
        <v>42565</v>
      </c>
      <c r="B135">
        <v>2163.75</v>
      </c>
      <c r="C135" s="5">
        <f t="shared" si="2"/>
        <v>0.52592039497804166</v>
      </c>
    </row>
    <row r="136" spans="1:3" x14ac:dyDescent="0.2">
      <c r="A136" s="1">
        <v>42566</v>
      </c>
      <c r="B136">
        <v>2161.73999</v>
      </c>
      <c r="C136" s="5">
        <f t="shared" si="2"/>
        <v>-9.2894742923164214E-2</v>
      </c>
    </row>
    <row r="137" spans="1:3" x14ac:dyDescent="0.2">
      <c r="A137" s="1">
        <v>42569</v>
      </c>
      <c r="B137">
        <v>2166.889893</v>
      </c>
      <c r="C137" s="5">
        <f t="shared" si="2"/>
        <v>0.23822952916738127</v>
      </c>
    </row>
    <row r="138" spans="1:3" x14ac:dyDescent="0.2">
      <c r="A138" s="1">
        <v>42570</v>
      </c>
      <c r="B138">
        <v>2163.780029</v>
      </c>
      <c r="C138" s="5">
        <f t="shared" si="2"/>
        <v>-0.14351739837110475</v>
      </c>
    </row>
    <row r="139" spans="1:3" x14ac:dyDescent="0.2">
      <c r="A139" s="1">
        <v>42571</v>
      </c>
      <c r="B139">
        <v>2173.0200199999999</v>
      </c>
      <c r="C139" s="5">
        <f t="shared" si="2"/>
        <v>0.42703005278545891</v>
      </c>
    </row>
    <row r="140" spans="1:3" x14ac:dyDescent="0.2">
      <c r="A140" s="1">
        <v>42572</v>
      </c>
      <c r="B140">
        <v>2165.169922</v>
      </c>
      <c r="C140" s="5">
        <f t="shared" si="2"/>
        <v>-0.36125290737081606</v>
      </c>
    </row>
    <row r="141" spans="1:3" x14ac:dyDescent="0.2">
      <c r="A141" s="1">
        <v>42573</v>
      </c>
      <c r="B141">
        <v>2175.030029</v>
      </c>
      <c r="C141" s="5">
        <f t="shared" si="2"/>
        <v>0.45539645178943011</v>
      </c>
    </row>
    <row r="142" spans="1:3" x14ac:dyDescent="0.2">
      <c r="A142" s="1">
        <v>42576</v>
      </c>
      <c r="B142">
        <v>2168.4799800000001</v>
      </c>
      <c r="C142" s="5">
        <f t="shared" si="2"/>
        <v>-0.30114752038671483</v>
      </c>
    </row>
    <row r="143" spans="1:3" x14ac:dyDescent="0.2">
      <c r="A143" s="1">
        <v>42577</v>
      </c>
      <c r="B143">
        <v>2169.179932</v>
      </c>
      <c r="C143" s="5">
        <f t="shared" si="2"/>
        <v>3.2278462630765871E-2</v>
      </c>
    </row>
    <row r="144" spans="1:3" x14ac:dyDescent="0.2">
      <c r="A144" s="1">
        <v>42578</v>
      </c>
      <c r="B144">
        <v>2166.580078</v>
      </c>
      <c r="C144" s="5">
        <f t="shared" si="2"/>
        <v>-0.11985423438815265</v>
      </c>
    </row>
    <row r="145" spans="1:3" x14ac:dyDescent="0.2">
      <c r="A145" s="1">
        <v>42579</v>
      </c>
      <c r="B145">
        <v>2170.0600589999999</v>
      </c>
      <c r="C145" s="5">
        <f t="shared" si="2"/>
        <v>0.16062092674702202</v>
      </c>
    </row>
    <row r="146" spans="1:3" x14ac:dyDescent="0.2">
      <c r="A146" s="1">
        <v>42580</v>
      </c>
      <c r="B146">
        <v>2173.6000979999999</v>
      </c>
      <c r="C146" s="5">
        <f t="shared" si="2"/>
        <v>0.16313092282023237</v>
      </c>
    </row>
    <row r="147" spans="1:3" x14ac:dyDescent="0.2">
      <c r="A147" s="1">
        <v>42583</v>
      </c>
      <c r="B147">
        <v>2170.8400879999999</v>
      </c>
      <c r="C147" s="5">
        <f t="shared" si="2"/>
        <v>-0.12697873921424371</v>
      </c>
    </row>
    <row r="148" spans="1:3" x14ac:dyDescent="0.2">
      <c r="A148" s="1">
        <v>42584</v>
      </c>
      <c r="B148">
        <v>2157.030029</v>
      </c>
      <c r="C148" s="5">
        <f t="shared" si="2"/>
        <v>-0.63616196680443415</v>
      </c>
    </row>
    <row r="149" spans="1:3" x14ac:dyDescent="0.2">
      <c r="A149" s="1">
        <v>42585</v>
      </c>
      <c r="B149">
        <v>2163.790039</v>
      </c>
      <c r="C149" s="5">
        <f t="shared" si="2"/>
        <v>0.31339433893434993</v>
      </c>
    </row>
    <row r="150" spans="1:3" x14ac:dyDescent="0.2">
      <c r="A150" s="1">
        <v>42586</v>
      </c>
      <c r="B150">
        <v>2164.25</v>
      </c>
      <c r="C150" s="5">
        <f t="shared" si="2"/>
        <v>2.1257191858254098E-2</v>
      </c>
    </row>
    <row r="151" spans="1:3" x14ac:dyDescent="0.2">
      <c r="A151" s="1">
        <v>42587</v>
      </c>
      <c r="B151">
        <v>2182.8701169999999</v>
      </c>
      <c r="C151" s="5">
        <f t="shared" si="2"/>
        <v>0.86034963613260651</v>
      </c>
    </row>
    <row r="152" spans="1:3" x14ac:dyDescent="0.2">
      <c r="A152" s="1">
        <v>42590</v>
      </c>
      <c r="B152">
        <v>2180.889893</v>
      </c>
      <c r="C152" s="5">
        <f t="shared" si="2"/>
        <v>-9.07165288753599E-2</v>
      </c>
    </row>
    <row r="153" spans="1:3" x14ac:dyDescent="0.2">
      <c r="A153" s="1">
        <v>42591</v>
      </c>
      <c r="B153">
        <v>2181.73999</v>
      </c>
      <c r="C153" s="5">
        <f t="shared" si="2"/>
        <v>3.8979363549189745E-2</v>
      </c>
    </row>
    <row r="154" spans="1:3" x14ac:dyDescent="0.2">
      <c r="A154" s="1">
        <v>42592</v>
      </c>
      <c r="B154">
        <v>2175.48999</v>
      </c>
      <c r="C154" s="5">
        <f t="shared" si="2"/>
        <v>-0.28646859977113953</v>
      </c>
    </row>
    <row r="155" spans="1:3" x14ac:dyDescent="0.2">
      <c r="A155" s="1">
        <v>42593</v>
      </c>
      <c r="B155">
        <v>2185.790039</v>
      </c>
      <c r="C155" s="5">
        <f t="shared" si="2"/>
        <v>0.47345880915774491</v>
      </c>
    </row>
    <row r="156" spans="1:3" x14ac:dyDescent="0.2">
      <c r="A156" s="1">
        <v>42594</v>
      </c>
      <c r="B156">
        <v>2184.0500489999999</v>
      </c>
      <c r="C156" s="5">
        <f t="shared" si="2"/>
        <v>-7.9604626654629682E-2</v>
      </c>
    </row>
    <row r="157" spans="1:3" x14ac:dyDescent="0.2">
      <c r="A157" s="1">
        <v>42597</v>
      </c>
      <c r="B157">
        <v>2190.1499020000001</v>
      </c>
      <c r="C157" s="5">
        <f t="shared" si="2"/>
        <v>0.27929089824626846</v>
      </c>
    </row>
    <row r="158" spans="1:3" x14ac:dyDescent="0.2">
      <c r="A158" s="1">
        <v>42598</v>
      </c>
      <c r="B158">
        <v>2178.1499020000001</v>
      </c>
      <c r="C158" s="5">
        <f t="shared" si="2"/>
        <v>-0.54790770207289674</v>
      </c>
    </row>
    <row r="159" spans="1:3" x14ac:dyDescent="0.2">
      <c r="A159" s="1">
        <v>42599</v>
      </c>
      <c r="B159">
        <v>2182.219971</v>
      </c>
      <c r="C159" s="5">
        <f t="shared" si="2"/>
        <v>0.18685899424381655</v>
      </c>
    </row>
    <row r="160" spans="1:3" x14ac:dyDescent="0.2">
      <c r="A160" s="1">
        <v>42600</v>
      </c>
      <c r="B160">
        <v>2187.0200199999999</v>
      </c>
      <c r="C160" s="5">
        <f t="shared" si="2"/>
        <v>0.21996173913669789</v>
      </c>
    </row>
    <row r="161" spans="1:3" x14ac:dyDescent="0.2">
      <c r="A161" s="1">
        <v>42601</v>
      </c>
      <c r="B161">
        <v>2183.8701169999999</v>
      </c>
      <c r="C161" s="5">
        <f t="shared" si="2"/>
        <v>-0.14402716807320287</v>
      </c>
    </row>
    <row r="162" spans="1:3" x14ac:dyDescent="0.2">
      <c r="A162" s="1">
        <v>42604</v>
      </c>
      <c r="B162">
        <v>2182.639893</v>
      </c>
      <c r="C162" s="5">
        <f t="shared" si="2"/>
        <v>-5.6332287823502802E-2</v>
      </c>
    </row>
    <row r="163" spans="1:3" x14ac:dyDescent="0.2">
      <c r="A163" s="1">
        <v>42605</v>
      </c>
      <c r="B163">
        <v>2186.8999020000001</v>
      </c>
      <c r="C163" s="5">
        <f t="shared" si="2"/>
        <v>0.19517690543742305</v>
      </c>
    </row>
    <row r="164" spans="1:3" x14ac:dyDescent="0.2">
      <c r="A164" s="1">
        <v>42606</v>
      </c>
      <c r="B164">
        <v>2175.4399410000001</v>
      </c>
      <c r="C164" s="5">
        <f t="shared" si="2"/>
        <v>-0.52402768821377999</v>
      </c>
    </row>
    <row r="165" spans="1:3" x14ac:dyDescent="0.2">
      <c r="A165" s="1">
        <v>42607</v>
      </c>
      <c r="B165">
        <v>2172.469971</v>
      </c>
      <c r="C165" s="5">
        <f t="shared" si="2"/>
        <v>-0.13652273013958161</v>
      </c>
    </row>
    <row r="166" spans="1:3" x14ac:dyDescent="0.2">
      <c r="A166" s="1">
        <v>42608</v>
      </c>
      <c r="B166">
        <v>2169.040039</v>
      </c>
      <c r="C166" s="5">
        <f t="shared" si="2"/>
        <v>-0.15788167596264591</v>
      </c>
    </row>
    <row r="167" spans="1:3" x14ac:dyDescent="0.2">
      <c r="A167" s="1">
        <v>42611</v>
      </c>
      <c r="B167">
        <v>2180.3798830000001</v>
      </c>
      <c r="C167" s="5">
        <f t="shared" si="2"/>
        <v>0.52280473371197567</v>
      </c>
    </row>
    <row r="168" spans="1:3" x14ac:dyDescent="0.2">
      <c r="A168" s="1">
        <v>42612</v>
      </c>
      <c r="B168">
        <v>2176.1201169999999</v>
      </c>
      <c r="C168" s="5">
        <f t="shared" si="2"/>
        <v>-0.19536806559318851</v>
      </c>
    </row>
    <row r="169" spans="1:3" x14ac:dyDescent="0.2">
      <c r="A169" s="1">
        <v>42613</v>
      </c>
      <c r="B169">
        <v>2170.9499510000001</v>
      </c>
      <c r="C169" s="5">
        <f t="shared" si="2"/>
        <v>-0.23758642547395195</v>
      </c>
    </row>
    <row r="170" spans="1:3" x14ac:dyDescent="0.2">
      <c r="A170" s="1">
        <v>42614</v>
      </c>
      <c r="B170">
        <v>2170.860107</v>
      </c>
      <c r="C170" s="5">
        <f t="shared" si="2"/>
        <v>-4.138464820835689E-3</v>
      </c>
    </row>
    <row r="171" spans="1:3" x14ac:dyDescent="0.2">
      <c r="A171" s="1">
        <v>42615</v>
      </c>
      <c r="B171">
        <v>2179.9799800000001</v>
      </c>
      <c r="C171" s="5">
        <f t="shared" si="2"/>
        <v>0.42010413156484883</v>
      </c>
    </row>
    <row r="172" spans="1:3" x14ac:dyDescent="0.2">
      <c r="A172" s="1">
        <v>42619</v>
      </c>
      <c r="B172">
        <v>2186.4799800000001</v>
      </c>
      <c r="C172" s="5">
        <f t="shared" si="2"/>
        <v>0.29816787583526339</v>
      </c>
    </row>
    <row r="173" spans="1:3" x14ac:dyDescent="0.2">
      <c r="A173" s="1">
        <v>42620</v>
      </c>
      <c r="B173">
        <v>2186.1599120000001</v>
      </c>
      <c r="C173" s="5">
        <f t="shared" si="2"/>
        <v>-1.4638505859998407E-2</v>
      </c>
    </row>
    <row r="174" spans="1:3" x14ac:dyDescent="0.2">
      <c r="A174" s="1">
        <v>42621</v>
      </c>
      <c r="B174">
        <v>2181.3000489999999</v>
      </c>
      <c r="C174" s="5">
        <f t="shared" si="2"/>
        <v>-0.22230135011276941</v>
      </c>
    </row>
    <row r="175" spans="1:3" x14ac:dyDescent="0.2">
      <c r="A175" s="1">
        <v>42622</v>
      </c>
      <c r="B175">
        <v>2127.8100589999999</v>
      </c>
      <c r="C175" s="5">
        <f t="shared" si="2"/>
        <v>-2.4522068857295491</v>
      </c>
    </row>
    <row r="176" spans="1:3" x14ac:dyDescent="0.2">
      <c r="A176" s="1">
        <v>42625</v>
      </c>
      <c r="B176">
        <v>2159.040039</v>
      </c>
      <c r="C176" s="5">
        <f t="shared" si="2"/>
        <v>1.467705252539182</v>
      </c>
    </row>
    <row r="177" spans="1:3" x14ac:dyDescent="0.2">
      <c r="A177" s="1">
        <v>42626</v>
      </c>
      <c r="B177">
        <v>2127.0200199999999</v>
      </c>
      <c r="C177" s="5">
        <f t="shared" si="2"/>
        <v>-1.4830674013266896</v>
      </c>
    </row>
    <row r="178" spans="1:3" x14ac:dyDescent="0.2">
      <c r="A178" s="1">
        <v>42627</v>
      </c>
      <c r="B178">
        <v>2125.7700199999999</v>
      </c>
      <c r="C178" s="5">
        <f t="shared" si="2"/>
        <v>-5.8767665007685259E-2</v>
      </c>
    </row>
    <row r="179" spans="1:3" x14ac:dyDescent="0.2">
      <c r="A179" s="1">
        <v>42628</v>
      </c>
      <c r="B179">
        <v>2147.26001</v>
      </c>
      <c r="C179" s="5">
        <f t="shared" si="2"/>
        <v>1.0109273250546658</v>
      </c>
    </row>
    <row r="180" spans="1:3" x14ac:dyDescent="0.2">
      <c r="A180" s="1">
        <v>42629</v>
      </c>
      <c r="B180">
        <v>2139.1599120000001</v>
      </c>
      <c r="C180" s="5">
        <f t="shared" si="2"/>
        <v>-0.37722949071267292</v>
      </c>
    </row>
    <row r="181" spans="1:3" x14ac:dyDescent="0.2">
      <c r="A181" s="1">
        <v>42632</v>
      </c>
      <c r="B181">
        <v>2139.1201169999999</v>
      </c>
      <c r="C181" s="5">
        <f t="shared" si="2"/>
        <v>-1.8603097307921192E-3</v>
      </c>
    </row>
    <row r="182" spans="1:3" x14ac:dyDescent="0.2">
      <c r="A182" s="1">
        <v>42633</v>
      </c>
      <c r="B182">
        <v>2139.76001</v>
      </c>
      <c r="C182" s="5">
        <f t="shared" si="2"/>
        <v>2.9913841439509457E-2</v>
      </c>
    </row>
    <row r="183" spans="1:3" x14ac:dyDescent="0.2">
      <c r="A183" s="1">
        <v>42634</v>
      </c>
      <c r="B183">
        <v>2163.1201169999999</v>
      </c>
      <c r="C183" s="5">
        <f t="shared" si="2"/>
        <v>1.0917162154086602</v>
      </c>
    </row>
    <row r="184" spans="1:3" x14ac:dyDescent="0.2">
      <c r="A184" s="1">
        <v>42635</v>
      </c>
      <c r="B184">
        <v>2177.179932</v>
      </c>
      <c r="C184" s="5">
        <f t="shared" si="2"/>
        <v>0.64997846811666771</v>
      </c>
    </row>
    <row r="185" spans="1:3" x14ac:dyDescent="0.2">
      <c r="A185" s="1">
        <v>42636</v>
      </c>
      <c r="B185">
        <v>2164.6899410000001</v>
      </c>
      <c r="C185" s="5">
        <f t="shared" si="2"/>
        <v>-0.57367748142554154</v>
      </c>
    </row>
    <row r="186" spans="1:3" x14ac:dyDescent="0.2">
      <c r="A186" s="1">
        <v>42639</v>
      </c>
      <c r="B186">
        <v>2146.1000979999999</v>
      </c>
      <c r="C186" s="5">
        <f t="shared" si="2"/>
        <v>-0.85877624540595576</v>
      </c>
    </row>
    <row r="187" spans="1:3" x14ac:dyDescent="0.2">
      <c r="A187" s="1">
        <v>42640</v>
      </c>
      <c r="B187">
        <v>2159.929932</v>
      </c>
      <c r="C187" s="5">
        <f t="shared" si="2"/>
        <v>0.64441700612606367</v>
      </c>
    </row>
    <row r="188" spans="1:3" x14ac:dyDescent="0.2">
      <c r="A188" s="1">
        <v>42641</v>
      </c>
      <c r="B188">
        <v>2171.3701169999999</v>
      </c>
      <c r="C188" s="5">
        <f t="shared" si="2"/>
        <v>0.5296553758763286</v>
      </c>
    </row>
    <row r="189" spans="1:3" x14ac:dyDescent="0.2">
      <c r="A189" s="1">
        <v>42642</v>
      </c>
      <c r="B189">
        <v>2151.1298830000001</v>
      </c>
      <c r="C189" s="5">
        <f t="shared" si="2"/>
        <v>-0.93214113252899078</v>
      </c>
    </row>
    <row r="190" spans="1:3" x14ac:dyDescent="0.2">
      <c r="A190" s="1">
        <v>42643</v>
      </c>
      <c r="B190">
        <v>2168.2700199999999</v>
      </c>
      <c r="C190" s="5">
        <f t="shared" si="2"/>
        <v>0.79679693613367319</v>
      </c>
    </row>
    <row r="191" spans="1:3" x14ac:dyDescent="0.2">
      <c r="A191" s="1">
        <v>42646</v>
      </c>
      <c r="B191">
        <v>2161.1999510000001</v>
      </c>
      <c r="C191" s="5">
        <f t="shared" si="2"/>
        <v>-0.32606958242220568</v>
      </c>
    </row>
    <row r="192" spans="1:3" x14ac:dyDescent="0.2">
      <c r="A192" s="1">
        <v>42647</v>
      </c>
      <c r="B192">
        <v>2150.48999</v>
      </c>
      <c r="C192" s="5">
        <f t="shared" si="2"/>
        <v>-0.49555623000289534</v>
      </c>
    </row>
    <row r="193" spans="1:3" x14ac:dyDescent="0.2">
      <c r="A193" s="1">
        <v>42648</v>
      </c>
      <c r="B193">
        <v>2159.7299800000001</v>
      </c>
      <c r="C193" s="5">
        <f t="shared" si="2"/>
        <v>0.42966905416751244</v>
      </c>
    </row>
    <row r="194" spans="1:3" x14ac:dyDescent="0.2">
      <c r="A194" s="1">
        <v>42649</v>
      </c>
      <c r="B194">
        <v>2160.7700199999999</v>
      </c>
      <c r="C194" s="5">
        <f t="shared" si="2"/>
        <v>4.8156019948376261E-2</v>
      </c>
    </row>
    <row r="195" spans="1:3" x14ac:dyDescent="0.2">
      <c r="A195" s="1">
        <v>42650</v>
      </c>
      <c r="B195">
        <v>2153.73999</v>
      </c>
      <c r="C195" s="5">
        <f t="shared" si="2"/>
        <v>-0.32534836817107898</v>
      </c>
    </row>
    <row r="196" spans="1:3" x14ac:dyDescent="0.2">
      <c r="A196" s="1">
        <v>42653</v>
      </c>
      <c r="B196">
        <v>2163.6599120000001</v>
      </c>
      <c r="C196" s="5">
        <f t="shared" ref="C196:C253" si="3">((B196-B195)/B195)*100</f>
        <v>0.46059050981358446</v>
      </c>
    </row>
    <row r="197" spans="1:3" x14ac:dyDescent="0.2">
      <c r="A197" s="1">
        <v>42654</v>
      </c>
      <c r="B197">
        <v>2136.7299800000001</v>
      </c>
      <c r="C197" s="5">
        <f t="shared" si="3"/>
        <v>-1.2446471763257407</v>
      </c>
    </row>
    <row r="198" spans="1:3" x14ac:dyDescent="0.2">
      <c r="A198" s="1">
        <v>42655</v>
      </c>
      <c r="B198">
        <v>2139.179932</v>
      </c>
      <c r="C198" s="5">
        <f t="shared" si="3"/>
        <v>0.11465894253984957</v>
      </c>
    </row>
    <row r="199" spans="1:3" x14ac:dyDescent="0.2">
      <c r="A199" s="1">
        <v>42656</v>
      </c>
      <c r="B199">
        <v>2132.5500489999999</v>
      </c>
      <c r="C199" s="5">
        <f t="shared" si="3"/>
        <v>-0.30992638350910179</v>
      </c>
    </row>
    <row r="200" spans="1:3" x14ac:dyDescent="0.2">
      <c r="A200" s="1">
        <v>42657</v>
      </c>
      <c r="B200">
        <v>2132.9799800000001</v>
      </c>
      <c r="C200" s="5">
        <f t="shared" si="3"/>
        <v>2.0160417815362802E-2</v>
      </c>
    </row>
    <row r="201" spans="1:3" x14ac:dyDescent="0.2">
      <c r="A201" s="1">
        <v>42660</v>
      </c>
      <c r="B201">
        <v>2126.5</v>
      </c>
      <c r="C201" s="5">
        <f t="shared" si="3"/>
        <v>-0.30379938212078617</v>
      </c>
    </row>
    <row r="202" spans="1:3" x14ac:dyDescent="0.2">
      <c r="A202" s="1">
        <v>42661</v>
      </c>
      <c r="B202">
        <v>2139.6000979999999</v>
      </c>
      <c r="C202" s="5">
        <f t="shared" si="3"/>
        <v>0.61604034798964913</v>
      </c>
    </row>
    <row r="203" spans="1:3" x14ac:dyDescent="0.2">
      <c r="A203" s="1">
        <v>42662</v>
      </c>
      <c r="B203">
        <v>2144.290039</v>
      </c>
      <c r="C203" s="5">
        <f t="shared" si="3"/>
        <v>0.2191970828746938</v>
      </c>
    </row>
    <row r="204" spans="1:3" x14ac:dyDescent="0.2">
      <c r="A204" s="1">
        <v>42663</v>
      </c>
      <c r="B204">
        <v>2141.3400879999999</v>
      </c>
      <c r="C204" s="5">
        <f t="shared" si="3"/>
        <v>-0.1375723874264593</v>
      </c>
    </row>
    <row r="205" spans="1:3" x14ac:dyDescent="0.2">
      <c r="A205" s="1">
        <v>42664</v>
      </c>
      <c r="B205">
        <v>2141.1599120000001</v>
      </c>
      <c r="C205" s="5">
        <f t="shared" si="3"/>
        <v>-8.414170220300228E-3</v>
      </c>
    </row>
    <row r="206" spans="1:3" x14ac:dyDescent="0.2">
      <c r="A206" s="1">
        <v>42667</v>
      </c>
      <c r="B206">
        <v>2151.330078</v>
      </c>
      <c r="C206" s="5">
        <f t="shared" si="3"/>
        <v>0.47498395346381217</v>
      </c>
    </row>
    <row r="207" spans="1:3" x14ac:dyDescent="0.2">
      <c r="A207" s="1">
        <v>42668</v>
      </c>
      <c r="B207">
        <v>2143.1599120000001</v>
      </c>
      <c r="C207" s="5">
        <f t="shared" si="3"/>
        <v>-0.37977277794560177</v>
      </c>
    </row>
    <row r="208" spans="1:3" x14ac:dyDescent="0.2">
      <c r="A208" s="1">
        <v>42669</v>
      </c>
      <c r="B208">
        <v>2139.429932</v>
      </c>
      <c r="C208" s="5">
        <f t="shared" si="3"/>
        <v>-0.17404114266579604</v>
      </c>
    </row>
    <row r="209" spans="1:3" x14ac:dyDescent="0.2">
      <c r="A209" s="1">
        <v>42670</v>
      </c>
      <c r="B209">
        <v>2133.040039</v>
      </c>
      <c r="C209" s="5">
        <f t="shared" si="3"/>
        <v>-0.29867269333876129</v>
      </c>
    </row>
    <row r="210" spans="1:3" x14ac:dyDescent="0.2">
      <c r="A210" s="1">
        <v>42671</v>
      </c>
      <c r="B210">
        <v>2126.4099120000001</v>
      </c>
      <c r="C210" s="5">
        <f t="shared" si="3"/>
        <v>-0.3108299365589125</v>
      </c>
    </row>
    <row r="211" spans="1:3" x14ac:dyDescent="0.2">
      <c r="A211" s="1">
        <v>42674</v>
      </c>
      <c r="B211">
        <v>2126.1499020000001</v>
      </c>
      <c r="C211" s="5">
        <f t="shared" si="3"/>
        <v>-1.2227651805639516E-2</v>
      </c>
    </row>
    <row r="212" spans="1:3" x14ac:dyDescent="0.2">
      <c r="A212" s="1">
        <v>42675</v>
      </c>
      <c r="B212">
        <v>2111.719971</v>
      </c>
      <c r="C212" s="5">
        <f t="shared" si="3"/>
        <v>-0.67868831762174231</v>
      </c>
    </row>
    <row r="213" spans="1:3" x14ac:dyDescent="0.2">
      <c r="A213" s="1">
        <v>42676</v>
      </c>
      <c r="B213">
        <v>2097.9399410000001</v>
      </c>
      <c r="C213" s="5">
        <f t="shared" si="3"/>
        <v>-0.65255006294581741</v>
      </c>
    </row>
    <row r="214" spans="1:3" x14ac:dyDescent="0.2">
      <c r="A214" s="1">
        <v>42677</v>
      </c>
      <c r="B214">
        <v>2088.6599120000001</v>
      </c>
      <c r="C214" s="5">
        <f t="shared" si="3"/>
        <v>-0.44234006982948293</v>
      </c>
    </row>
    <row r="215" spans="1:3" x14ac:dyDescent="0.2">
      <c r="A215" s="1">
        <v>42678</v>
      </c>
      <c r="B215">
        <v>2085.179932</v>
      </c>
      <c r="C215" s="5">
        <f t="shared" si="3"/>
        <v>-0.16661305078947999</v>
      </c>
    </row>
    <row r="216" spans="1:3" x14ac:dyDescent="0.2">
      <c r="A216" s="1">
        <v>42681</v>
      </c>
      <c r="B216">
        <v>2131.5200199999999</v>
      </c>
      <c r="C216" s="5">
        <f t="shared" si="3"/>
        <v>2.2223544015960695</v>
      </c>
    </row>
    <row r="217" spans="1:3" x14ac:dyDescent="0.2">
      <c r="A217" s="1">
        <v>42682</v>
      </c>
      <c r="B217">
        <v>2139.5600589999999</v>
      </c>
      <c r="C217" s="5">
        <f t="shared" si="3"/>
        <v>0.37719744241482561</v>
      </c>
    </row>
    <row r="218" spans="1:3" x14ac:dyDescent="0.2">
      <c r="A218" s="1">
        <v>42683</v>
      </c>
      <c r="B218">
        <v>2163.26001</v>
      </c>
      <c r="C218" s="5">
        <f t="shared" si="3"/>
        <v>1.1077020670818223</v>
      </c>
    </row>
    <row r="219" spans="1:3" x14ac:dyDescent="0.2">
      <c r="A219" s="1">
        <v>42684</v>
      </c>
      <c r="B219">
        <v>2167.4799800000001</v>
      </c>
      <c r="C219" s="5">
        <f t="shared" si="3"/>
        <v>0.1950745624886813</v>
      </c>
    </row>
    <row r="220" spans="1:3" x14ac:dyDescent="0.2">
      <c r="A220" s="1">
        <v>42685</v>
      </c>
      <c r="B220">
        <v>2164.4499510000001</v>
      </c>
      <c r="C220" s="5">
        <f t="shared" si="3"/>
        <v>-0.13979501669953201</v>
      </c>
    </row>
    <row r="221" spans="1:3" x14ac:dyDescent="0.2">
      <c r="A221" s="1">
        <v>42688</v>
      </c>
      <c r="B221">
        <v>2164.1999510000001</v>
      </c>
      <c r="C221" s="5">
        <f t="shared" si="3"/>
        <v>-1.1550278623190026E-2</v>
      </c>
    </row>
    <row r="222" spans="1:3" x14ac:dyDescent="0.2">
      <c r="A222" s="1">
        <v>42689</v>
      </c>
      <c r="B222">
        <v>2180.389893</v>
      </c>
      <c r="C222" s="5">
        <f t="shared" si="3"/>
        <v>0.74807976927081876</v>
      </c>
    </row>
    <row r="223" spans="1:3" x14ac:dyDescent="0.2">
      <c r="A223" s="1">
        <v>42690</v>
      </c>
      <c r="B223">
        <v>2176.9399410000001</v>
      </c>
      <c r="C223" s="5">
        <f t="shared" si="3"/>
        <v>-0.15822638011099693</v>
      </c>
    </row>
    <row r="224" spans="1:3" x14ac:dyDescent="0.2">
      <c r="A224" s="1">
        <v>42691</v>
      </c>
      <c r="B224">
        <v>2187.1201169999999</v>
      </c>
      <c r="C224" s="5">
        <f t="shared" si="3"/>
        <v>0.46763697097327711</v>
      </c>
    </row>
    <row r="225" spans="1:3" x14ac:dyDescent="0.2">
      <c r="A225" s="1">
        <v>42692</v>
      </c>
      <c r="B225">
        <v>2181.8999020000001</v>
      </c>
      <c r="C225" s="5">
        <f t="shared" si="3"/>
        <v>-0.2386798493335712</v>
      </c>
    </row>
    <row r="226" spans="1:3" x14ac:dyDescent="0.2">
      <c r="A226" s="1">
        <v>42695</v>
      </c>
      <c r="B226">
        <v>2198.179932</v>
      </c>
      <c r="C226" s="5">
        <f t="shared" si="3"/>
        <v>0.7461400949272281</v>
      </c>
    </row>
    <row r="227" spans="1:3" x14ac:dyDescent="0.2">
      <c r="A227" s="1">
        <v>42696</v>
      </c>
      <c r="B227">
        <v>2202.9399410000001</v>
      </c>
      <c r="C227" s="5">
        <f t="shared" si="3"/>
        <v>0.21654319242507222</v>
      </c>
    </row>
    <row r="228" spans="1:3" x14ac:dyDescent="0.2">
      <c r="A228" s="1">
        <v>42697</v>
      </c>
      <c r="B228">
        <v>2204.719971</v>
      </c>
      <c r="C228" s="5">
        <f t="shared" si="3"/>
        <v>8.0802475222809395E-2</v>
      </c>
    </row>
    <row r="229" spans="1:3" x14ac:dyDescent="0.2">
      <c r="A229" s="1">
        <v>42699</v>
      </c>
      <c r="B229">
        <v>2213.3500979999999</v>
      </c>
      <c r="C229" s="5">
        <f t="shared" si="3"/>
        <v>0.39143869124048053</v>
      </c>
    </row>
    <row r="230" spans="1:3" x14ac:dyDescent="0.2">
      <c r="A230" s="1">
        <v>42702</v>
      </c>
      <c r="B230">
        <v>2201.719971</v>
      </c>
      <c r="C230" s="5">
        <f t="shared" si="3"/>
        <v>-0.52545356518650055</v>
      </c>
    </row>
    <row r="231" spans="1:3" x14ac:dyDescent="0.2">
      <c r="A231" s="1">
        <v>42703</v>
      </c>
      <c r="B231">
        <v>2204.6599120000001</v>
      </c>
      <c r="C231" s="5">
        <f t="shared" si="3"/>
        <v>0.13352928795321764</v>
      </c>
    </row>
    <row r="232" spans="1:3" x14ac:dyDescent="0.2">
      <c r="A232" s="1">
        <v>42704</v>
      </c>
      <c r="B232">
        <v>2198.8100589999999</v>
      </c>
      <c r="C232" s="5">
        <f t="shared" si="3"/>
        <v>-0.26534038053485354</v>
      </c>
    </row>
    <row r="233" spans="1:3" x14ac:dyDescent="0.2">
      <c r="A233" s="1">
        <v>42705</v>
      </c>
      <c r="B233">
        <v>2191.080078</v>
      </c>
      <c r="C233" s="5">
        <f t="shared" si="3"/>
        <v>-0.35155292147041939</v>
      </c>
    </row>
    <row r="234" spans="1:3" x14ac:dyDescent="0.2">
      <c r="A234" s="1">
        <v>42706</v>
      </c>
      <c r="B234">
        <v>2191.9499510000001</v>
      </c>
      <c r="C234" s="5">
        <f t="shared" si="3"/>
        <v>3.9700648494513761E-2</v>
      </c>
    </row>
    <row r="235" spans="1:3" x14ac:dyDescent="0.2">
      <c r="A235" s="1">
        <v>42709</v>
      </c>
      <c r="B235">
        <v>2204.709961</v>
      </c>
      <c r="C235" s="5">
        <f t="shared" si="3"/>
        <v>0.58213053606350185</v>
      </c>
    </row>
    <row r="236" spans="1:3" x14ac:dyDescent="0.2">
      <c r="A236" s="1">
        <v>42710</v>
      </c>
      <c r="B236">
        <v>2212.2299800000001</v>
      </c>
      <c r="C236" s="5">
        <f t="shared" si="3"/>
        <v>0.34108881136406527</v>
      </c>
    </row>
    <row r="237" spans="1:3" x14ac:dyDescent="0.2">
      <c r="A237" s="1">
        <v>42711</v>
      </c>
      <c r="B237">
        <v>2241.3500979999999</v>
      </c>
      <c r="C237" s="5">
        <f t="shared" si="3"/>
        <v>1.3163241734930209</v>
      </c>
    </row>
    <row r="238" spans="1:3" x14ac:dyDescent="0.2">
      <c r="A238" s="1">
        <v>42712</v>
      </c>
      <c r="B238">
        <v>2246.1899410000001</v>
      </c>
      <c r="C238" s="5">
        <f t="shared" si="3"/>
        <v>0.21593427123762979</v>
      </c>
    </row>
    <row r="239" spans="1:3" x14ac:dyDescent="0.2">
      <c r="A239" s="1">
        <v>42713</v>
      </c>
      <c r="B239">
        <v>2259.530029</v>
      </c>
      <c r="C239" s="5">
        <f t="shared" si="3"/>
        <v>0.59389848367235309</v>
      </c>
    </row>
    <row r="240" spans="1:3" x14ac:dyDescent="0.2">
      <c r="A240" s="1">
        <v>42716</v>
      </c>
      <c r="B240">
        <v>2256.959961</v>
      </c>
      <c r="C240" s="5">
        <f t="shared" si="3"/>
        <v>-0.11374347616603382</v>
      </c>
    </row>
    <row r="241" spans="1:3" x14ac:dyDescent="0.2">
      <c r="A241" s="1">
        <v>42717</v>
      </c>
      <c r="B241">
        <v>2271.719971</v>
      </c>
      <c r="C241" s="5">
        <f t="shared" si="3"/>
        <v>0.65397748542513756</v>
      </c>
    </row>
    <row r="242" spans="1:3" x14ac:dyDescent="0.2">
      <c r="A242" s="1">
        <v>42718</v>
      </c>
      <c r="B242">
        <v>2253.280029</v>
      </c>
      <c r="C242" s="5">
        <f t="shared" si="3"/>
        <v>-0.81171721142561437</v>
      </c>
    </row>
    <row r="243" spans="1:3" x14ac:dyDescent="0.2">
      <c r="A243" s="1">
        <v>42719</v>
      </c>
      <c r="B243">
        <v>2262.030029</v>
      </c>
      <c r="C243" s="5">
        <f t="shared" si="3"/>
        <v>0.38832279554189403</v>
      </c>
    </row>
    <row r="244" spans="1:3" x14ac:dyDescent="0.2">
      <c r="A244" s="1">
        <v>42720</v>
      </c>
      <c r="B244">
        <v>2258.070068</v>
      </c>
      <c r="C244" s="5">
        <f t="shared" si="3"/>
        <v>-0.17506226483432866</v>
      </c>
    </row>
    <row r="245" spans="1:3" x14ac:dyDescent="0.2">
      <c r="A245" s="1">
        <v>42723</v>
      </c>
      <c r="B245">
        <v>2262.530029</v>
      </c>
      <c r="C245" s="5">
        <f t="shared" si="3"/>
        <v>0.19751207295131734</v>
      </c>
    </row>
    <row r="246" spans="1:3" x14ac:dyDescent="0.2">
      <c r="A246" s="1">
        <v>42724</v>
      </c>
      <c r="B246">
        <v>2270.76001</v>
      </c>
      <c r="C246" s="5">
        <f t="shared" si="3"/>
        <v>0.36375123841505275</v>
      </c>
    </row>
    <row r="247" spans="1:3" x14ac:dyDescent="0.2">
      <c r="A247" s="1">
        <v>42725</v>
      </c>
      <c r="B247">
        <v>2265.179932</v>
      </c>
      <c r="C247" s="5">
        <f t="shared" si="3"/>
        <v>-0.24573614012164843</v>
      </c>
    </row>
    <row r="248" spans="1:3" x14ac:dyDescent="0.2">
      <c r="A248" s="1">
        <v>42726</v>
      </c>
      <c r="B248">
        <v>2260.959961</v>
      </c>
      <c r="C248" s="5">
        <f t="shared" si="3"/>
        <v>-0.18629738593322426</v>
      </c>
    </row>
    <row r="249" spans="1:3" x14ac:dyDescent="0.2">
      <c r="A249" s="1">
        <v>42727</v>
      </c>
      <c r="B249">
        <v>2263.790039</v>
      </c>
      <c r="C249" s="5">
        <f t="shared" si="3"/>
        <v>0.12517152222139497</v>
      </c>
    </row>
    <row r="250" spans="1:3" x14ac:dyDescent="0.2">
      <c r="A250" s="1">
        <v>42731</v>
      </c>
      <c r="B250">
        <v>2268.8798830000001</v>
      </c>
      <c r="C250" s="5">
        <f t="shared" si="3"/>
        <v>0.22483728227059688</v>
      </c>
    </row>
    <row r="251" spans="1:3" x14ac:dyDescent="0.2">
      <c r="A251" s="1">
        <v>42732</v>
      </c>
      <c r="B251">
        <v>2249.919922</v>
      </c>
      <c r="C251" s="5">
        <f t="shared" si="3"/>
        <v>-0.83565292028286808</v>
      </c>
    </row>
    <row r="252" spans="1:3" x14ac:dyDescent="0.2">
      <c r="A252" s="1">
        <v>42733</v>
      </c>
      <c r="B252">
        <v>2249.26001</v>
      </c>
      <c r="C252" s="5">
        <f t="shared" si="3"/>
        <v>-2.933046610003201E-2</v>
      </c>
    </row>
    <row r="253" spans="1:3" x14ac:dyDescent="0.2">
      <c r="A253" s="1">
        <v>42734</v>
      </c>
      <c r="B253">
        <v>2238.830078</v>
      </c>
      <c r="C253" s="5">
        <f t="shared" si="3"/>
        <v>-0.46370503870737506</v>
      </c>
    </row>
  </sheetData>
  <pageMargins left="0.7" right="0.7" top="0.75" bottom="0.75" header="0.3" footer="0.3"/>
  <pageSetup orientation="portrait" horizontalDpi="0" verticalDpi="0"/>
  <ignoredErrors>
    <ignoredError sqref="H11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70"/>
  <sheetViews>
    <sheetView tabSelected="1" topLeftCell="AM236" zoomScale="86" zoomScaleNormal="90" zoomScalePageLayoutView="90" workbookViewId="0">
      <selection activeCell="AU270" sqref="AU270"/>
    </sheetView>
  </sheetViews>
  <sheetFormatPr baseColWidth="10" defaultRowHeight="16" x14ac:dyDescent="0.2"/>
  <cols>
    <col min="3" max="3" width="11.33203125" customWidth="1"/>
    <col min="32" max="32" width="11.6640625" customWidth="1"/>
    <col min="33" max="33" width="12" customWidth="1"/>
  </cols>
  <sheetData>
    <row r="1" spans="1:48" x14ac:dyDescent="0.2">
      <c r="A1" s="2" t="s">
        <v>3</v>
      </c>
      <c r="F1" s="2" t="s">
        <v>4</v>
      </c>
      <c r="K1" s="2" t="s">
        <v>5</v>
      </c>
      <c r="P1" s="2" t="s">
        <v>6</v>
      </c>
      <c r="U1" s="2" t="s">
        <v>7</v>
      </c>
      <c r="Z1" s="2" t="s">
        <v>8</v>
      </c>
      <c r="AE1" s="2" t="s">
        <v>9</v>
      </c>
      <c r="AJ1" s="2" t="s">
        <v>10</v>
      </c>
      <c r="AO1" s="2" t="s">
        <v>11</v>
      </c>
      <c r="AT1" s="2" t="s">
        <v>12</v>
      </c>
    </row>
    <row r="2" spans="1:48" x14ac:dyDescent="0.2">
      <c r="A2" t="s">
        <v>0</v>
      </c>
      <c r="B2" t="s">
        <v>1</v>
      </c>
      <c r="C2" t="s">
        <v>13</v>
      </c>
      <c r="F2" t="s">
        <v>0</v>
      </c>
      <c r="G2" t="s">
        <v>1</v>
      </c>
      <c r="H2" t="s">
        <v>13</v>
      </c>
      <c r="K2" t="s">
        <v>0</v>
      </c>
      <c r="L2" t="s">
        <v>1</v>
      </c>
      <c r="M2" t="s">
        <v>13</v>
      </c>
      <c r="P2" t="s">
        <v>0</v>
      </c>
      <c r="Q2" t="s">
        <v>1</v>
      </c>
      <c r="R2" t="s">
        <v>13</v>
      </c>
      <c r="U2" t="s">
        <v>0</v>
      </c>
      <c r="V2" t="s">
        <v>1</v>
      </c>
      <c r="W2" t="s">
        <v>13</v>
      </c>
      <c r="Z2" t="s">
        <v>0</v>
      </c>
      <c r="AA2" t="s">
        <v>1</v>
      </c>
      <c r="AB2" t="s">
        <v>13</v>
      </c>
      <c r="AE2" t="s">
        <v>0</v>
      </c>
      <c r="AF2" t="s">
        <v>1</v>
      </c>
      <c r="AG2" t="s">
        <v>13</v>
      </c>
      <c r="AJ2" t="s">
        <v>0</v>
      </c>
      <c r="AK2" t="s">
        <v>1</v>
      </c>
      <c r="AL2" t="s">
        <v>13</v>
      </c>
      <c r="AO2" t="s">
        <v>0</v>
      </c>
      <c r="AP2" t="s">
        <v>1</v>
      </c>
      <c r="AQ2" t="s">
        <v>13</v>
      </c>
      <c r="AT2" t="s">
        <v>0</v>
      </c>
      <c r="AU2" t="s">
        <v>1</v>
      </c>
      <c r="AV2" t="s">
        <v>13</v>
      </c>
    </row>
    <row r="3" spans="1:48" x14ac:dyDescent="0.2">
      <c r="A3" s="1">
        <v>42373</v>
      </c>
      <c r="B3">
        <v>8.7750319999999995</v>
      </c>
      <c r="F3" s="1">
        <v>42373</v>
      </c>
      <c r="G3">
        <v>151.87397799999999</v>
      </c>
      <c r="K3" s="1">
        <v>42373</v>
      </c>
      <c r="L3">
        <v>98.787612999999993</v>
      </c>
      <c r="P3" s="1">
        <v>42373</v>
      </c>
      <c r="Q3">
        <v>91.970000999999996</v>
      </c>
      <c r="U3" s="1">
        <v>42373</v>
      </c>
      <c r="V3">
        <v>2.77</v>
      </c>
      <c r="Z3" s="1">
        <v>42373</v>
      </c>
      <c r="AA3">
        <v>37.089252000000002</v>
      </c>
      <c r="AE3" s="1">
        <v>42373</v>
      </c>
      <c r="AF3">
        <v>232.240509</v>
      </c>
      <c r="AJ3" s="1">
        <v>42373</v>
      </c>
      <c r="AK3">
        <v>53.886451999999998</v>
      </c>
      <c r="AO3" s="1">
        <v>42373</v>
      </c>
      <c r="AP3">
        <v>41.126655999999997</v>
      </c>
      <c r="AT3" s="1">
        <v>42373</v>
      </c>
      <c r="AU3">
        <v>140.41296399999999</v>
      </c>
    </row>
    <row r="4" spans="1:48" x14ac:dyDescent="0.2">
      <c r="A4" s="1">
        <v>42374</v>
      </c>
      <c r="B4">
        <v>8.8960030000000003</v>
      </c>
      <c r="C4" s="5">
        <f>((B4-B3)/B3)*100</f>
        <v>1.3785818672798096</v>
      </c>
      <c r="F4" s="1">
        <v>42374</v>
      </c>
      <c r="G4">
        <v>150.83647199999999</v>
      </c>
      <c r="H4" s="5">
        <f>((G4-G3)/G3)*100</f>
        <v>-0.68313611960569542</v>
      </c>
      <c r="K4" s="1">
        <v>42374</v>
      </c>
      <c r="L4">
        <v>99.301765000000003</v>
      </c>
      <c r="M4" s="5">
        <f>((L4-L3)/L3)*100</f>
        <v>0.52046201379520118</v>
      </c>
      <c r="P4" s="1">
        <v>42374</v>
      </c>
      <c r="Q4">
        <v>92.339995999999999</v>
      </c>
      <c r="R4" s="5">
        <f>((Q4-Q3)/Q3)*100</f>
        <v>0.40229965855931982</v>
      </c>
      <c r="U4" s="1">
        <v>42374</v>
      </c>
      <c r="V4">
        <v>2.75</v>
      </c>
      <c r="W4" s="5">
        <f>((V4-V3)/V3)*100</f>
        <v>-0.7220216606498201</v>
      </c>
      <c r="Z4" s="1">
        <v>42374</v>
      </c>
      <c r="AA4">
        <v>36.616024000000003</v>
      </c>
      <c r="AB4" s="5">
        <f>((AA4-AA3)/AA3)*100</f>
        <v>-1.2759168073812837</v>
      </c>
      <c r="AE4" s="1">
        <v>42374</v>
      </c>
      <c r="AF4">
        <v>235.18817100000001</v>
      </c>
      <c r="AG4" s="5">
        <f>((AF4-AF3)/AF3)*100</f>
        <v>1.2692281861989925</v>
      </c>
      <c r="AJ4" s="1">
        <v>42374</v>
      </c>
      <c r="AK4">
        <v>53.661963999999998</v>
      </c>
      <c r="AL4" s="5">
        <f>((AK4-AK3)/AK3)*100</f>
        <v>-0.41659450876446813</v>
      </c>
      <c r="AO4" s="1">
        <v>42374</v>
      </c>
      <c r="AP4">
        <v>41.117072999999998</v>
      </c>
      <c r="AQ4" s="5">
        <f>((AP4-AP3)/AP3)*100</f>
        <v>-2.3301189379460446E-2</v>
      </c>
      <c r="AT4" s="1">
        <v>42374</v>
      </c>
      <c r="AU4">
        <v>141.02500900000001</v>
      </c>
      <c r="AV4" s="5">
        <f>((AU4-AU3)/AU3)*100</f>
        <v>0.43588923883126873</v>
      </c>
    </row>
    <row r="5" spans="1:48" x14ac:dyDescent="0.2">
      <c r="A5" s="1">
        <v>42375</v>
      </c>
      <c r="B5">
        <v>8.5889220000000002</v>
      </c>
      <c r="C5" s="5">
        <f t="shared" ref="C5:C68" si="0">((B5-B4)/B4)*100</f>
        <v>-3.4518985661313306</v>
      </c>
      <c r="F5" s="1">
        <v>42375</v>
      </c>
      <c r="G5">
        <v>146.84608499999999</v>
      </c>
      <c r="H5" s="5">
        <f t="shared" ref="H5:H68" si="1">((G5-G4)/G4)*100</f>
        <v>-2.6455053920911111</v>
      </c>
      <c r="K5" s="1">
        <v>42375</v>
      </c>
      <c r="L5">
        <v>99.107749999999996</v>
      </c>
      <c r="M5" s="5">
        <f t="shared" ref="M5:M68" si="2">((L5-L4)/L4)*100</f>
        <v>-0.19537920599901459</v>
      </c>
      <c r="P5" s="1">
        <v>42375</v>
      </c>
      <c r="Q5">
        <v>91.019997000000004</v>
      </c>
      <c r="R5" s="5">
        <f t="shared" ref="R5:R68" si="3">((Q5-Q4)/Q4)*100</f>
        <v>-1.4294986540826746</v>
      </c>
      <c r="U5" s="1">
        <v>42375</v>
      </c>
      <c r="V5">
        <v>2.5099999999999998</v>
      </c>
      <c r="W5" s="5">
        <f t="shared" ref="W5:W68" si="4">((V5-V4)/V4)*100</f>
        <v>-8.7272727272727355</v>
      </c>
      <c r="Z5" s="1">
        <v>42375</v>
      </c>
      <c r="AA5">
        <v>36.270961999999997</v>
      </c>
      <c r="AB5" s="5">
        <f t="shared" ref="AB5:AB68" si="5">((AA5-AA4)/AA4)*100</f>
        <v>-0.94237976247777666</v>
      </c>
      <c r="AE5" s="1">
        <v>42375</v>
      </c>
      <c r="AF5">
        <v>228.98408499999999</v>
      </c>
      <c r="AG5" s="5">
        <f t="shared" ref="AG5:AG68" si="6">((AF5-AF4)/AF4)*100</f>
        <v>-2.6379243367643768</v>
      </c>
      <c r="AJ5" s="1">
        <v>42375</v>
      </c>
      <c r="AK5">
        <v>53.671314000000002</v>
      </c>
      <c r="AL5" s="5">
        <f t="shared" ref="AL5:AL68" si="7">((AK5-AK4)/AK4)*100</f>
        <v>1.7423887057143223E-2</v>
      </c>
      <c r="AO5" s="1">
        <v>42375</v>
      </c>
      <c r="AP5">
        <v>40.772193999999999</v>
      </c>
      <c r="AQ5" s="5">
        <f t="shared" ref="AQ5:AQ68" si="8">((AP5-AP4)/AP4)*100</f>
        <v>-0.83877322687828204</v>
      </c>
      <c r="AT5" s="1">
        <v>42375</v>
      </c>
      <c r="AU5">
        <v>138.184631</v>
      </c>
      <c r="AV5" s="5">
        <f t="shared" ref="AV5:AV68" si="9">((AU5-AU4)/AU4)*100</f>
        <v>-2.014095244624317</v>
      </c>
    </row>
    <row r="6" spans="1:48" x14ac:dyDescent="0.2">
      <c r="A6" s="1">
        <v>42376</v>
      </c>
      <c r="B6">
        <v>8.3748970000000007</v>
      </c>
      <c r="C6" s="5">
        <f t="shared" si="0"/>
        <v>-2.4918726704003071</v>
      </c>
      <c r="F6" s="1">
        <v>42376</v>
      </c>
      <c r="G6">
        <v>148.47216800000001</v>
      </c>
      <c r="H6" s="5">
        <f t="shared" si="1"/>
        <v>1.1073383400041088</v>
      </c>
      <c r="K6" s="1">
        <v>42376</v>
      </c>
      <c r="L6">
        <v>96.197379999999995</v>
      </c>
      <c r="M6" s="5">
        <f t="shared" si="2"/>
        <v>-2.9365715597417967</v>
      </c>
      <c r="P6" s="1">
        <v>42376</v>
      </c>
      <c r="Q6">
        <v>89.110000999999997</v>
      </c>
      <c r="R6" s="5">
        <f t="shared" si="3"/>
        <v>-2.0984355778434121</v>
      </c>
      <c r="U6" s="1">
        <v>42376</v>
      </c>
      <c r="V6">
        <v>2.2799999999999998</v>
      </c>
      <c r="W6" s="5">
        <f t="shared" si="4"/>
        <v>-9.1633466135458175</v>
      </c>
      <c r="Z6" s="1">
        <v>42376</v>
      </c>
      <c r="AA6">
        <v>35.758301000000003</v>
      </c>
      <c r="AB6" s="5">
        <f t="shared" si="5"/>
        <v>-1.4134199142553603</v>
      </c>
      <c r="AE6" s="1">
        <v>42376</v>
      </c>
      <c r="AF6">
        <v>222.909424</v>
      </c>
      <c r="AG6" s="5">
        <f t="shared" si="6"/>
        <v>-2.6528747620167539</v>
      </c>
      <c r="AJ6" s="1">
        <v>42376</v>
      </c>
      <c r="AK6">
        <v>53.512298999999999</v>
      </c>
      <c r="AL6" s="5">
        <f t="shared" si="7"/>
        <v>-0.29627558587442759</v>
      </c>
      <c r="AO6" s="1">
        <v>42376</v>
      </c>
      <c r="AP6">
        <v>39.795043999999997</v>
      </c>
      <c r="AQ6" s="5">
        <f t="shared" si="8"/>
        <v>-2.3966088261034022</v>
      </c>
      <c r="AT6" s="1">
        <v>42376</v>
      </c>
      <c r="AU6">
        <v>134.818207</v>
      </c>
      <c r="AV6" s="5">
        <f t="shared" si="9"/>
        <v>-2.4361783040836102</v>
      </c>
    </row>
    <row r="7" spans="1:48" x14ac:dyDescent="0.2">
      <c r="A7" s="1">
        <v>42377</v>
      </c>
      <c r="B7">
        <v>8.4958679999999998</v>
      </c>
      <c r="C7" s="5">
        <f t="shared" si="0"/>
        <v>1.4444476152960333</v>
      </c>
      <c r="F7" s="1">
        <v>42377</v>
      </c>
      <c r="G7">
        <v>145.21005199999999</v>
      </c>
      <c r="H7" s="5">
        <f t="shared" si="1"/>
        <v>-2.1971228978080388</v>
      </c>
      <c r="K7" s="1">
        <v>42377</v>
      </c>
      <c r="L7">
        <v>95.266052000000002</v>
      </c>
      <c r="M7" s="5">
        <f t="shared" si="2"/>
        <v>-0.96814279141489457</v>
      </c>
      <c r="P7" s="1">
        <v>42377</v>
      </c>
      <c r="Q7">
        <v>87.849997999999999</v>
      </c>
      <c r="R7" s="5">
        <f t="shared" si="3"/>
        <v>-1.4139860687466468</v>
      </c>
      <c r="U7" s="1">
        <v>42377</v>
      </c>
      <c r="V7">
        <v>2.14</v>
      </c>
      <c r="W7" s="5">
        <f t="shared" si="4"/>
        <v>-6.1403508771929687</v>
      </c>
      <c r="Z7" s="1">
        <v>42377</v>
      </c>
      <c r="AA7">
        <v>35.206200000000003</v>
      </c>
      <c r="AB7" s="5">
        <f t="shared" si="5"/>
        <v>-1.5439799558709468</v>
      </c>
      <c r="AE7" s="1">
        <v>42377</v>
      </c>
      <c r="AF7">
        <v>214.58421300000001</v>
      </c>
      <c r="AG7" s="5">
        <f t="shared" si="6"/>
        <v>-3.7347954387069775</v>
      </c>
      <c r="AJ7" s="1">
        <v>42377</v>
      </c>
      <c r="AK7">
        <v>52.053134999999997</v>
      </c>
      <c r="AL7" s="5">
        <f t="shared" si="7"/>
        <v>-2.7267824916287027</v>
      </c>
      <c r="AO7" s="1">
        <v>42377</v>
      </c>
      <c r="AP7">
        <v>38.961585999999997</v>
      </c>
      <c r="AQ7" s="5">
        <f t="shared" si="8"/>
        <v>-2.094376375108419</v>
      </c>
      <c r="AT7" s="1">
        <v>42377</v>
      </c>
      <c r="AU7">
        <v>134.35917699999999</v>
      </c>
      <c r="AV7" s="5">
        <f t="shared" si="9"/>
        <v>-0.34048071860205997</v>
      </c>
    </row>
    <row r="8" spans="1:48" x14ac:dyDescent="0.2">
      <c r="A8" s="1">
        <v>42380</v>
      </c>
      <c r="B8">
        <v>8.4028139999999993</v>
      </c>
      <c r="C8" s="5">
        <f t="shared" si="0"/>
        <v>-1.0952853787276406</v>
      </c>
      <c r="F8" s="1">
        <v>42380</v>
      </c>
      <c r="G8">
        <v>146.69645700000001</v>
      </c>
      <c r="H8" s="5">
        <f t="shared" si="1"/>
        <v>1.0236240394707794</v>
      </c>
      <c r="K8" s="1">
        <v>42380</v>
      </c>
      <c r="L8">
        <v>96.265297000000004</v>
      </c>
      <c r="M8" s="5">
        <f t="shared" si="2"/>
        <v>1.0488993497914683</v>
      </c>
      <c r="P8" s="1">
        <v>42380</v>
      </c>
      <c r="Q8">
        <v>89.379997000000003</v>
      </c>
      <c r="R8" s="5">
        <f t="shared" si="3"/>
        <v>1.7416039098828477</v>
      </c>
      <c r="U8" s="1">
        <v>42380</v>
      </c>
      <c r="V8">
        <v>2.34</v>
      </c>
      <c r="W8" s="5">
        <f t="shared" si="4"/>
        <v>9.3457943925233522</v>
      </c>
      <c r="Z8" s="1">
        <v>42380</v>
      </c>
      <c r="AA8">
        <v>35.699145999999999</v>
      </c>
      <c r="AB8" s="5">
        <f t="shared" si="5"/>
        <v>1.4001681522004543</v>
      </c>
      <c r="AE8" s="1">
        <v>42380</v>
      </c>
      <c r="AF8">
        <v>205.47224399999999</v>
      </c>
      <c r="AG8" s="5">
        <f t="shared" si="6"/>
        <v>-4.2463370779284757</v>
      </c>
      <c r="AJ8" s="1">
        <v>42380</v>
      </c>
      <c r="AK8">
        <v>50.397530000000003</v>
      </c>
      <c r="AL8" s="5">
        <f t="shared" si="7"/>
        <v>-3.1806057406532662</v>
      </c>
      <c r="AO8" s="1">
        <v>42380</v>
      </c>
      <c r="AP8">
        <v>39.019069999999999</v>
      </c>
      <c r="AQ8" s="5">
        <f t="shared" si="8"/>
        <v>0.1475401951039732</v>
      </c>
      <c r="AT8" s="1">
        <v>42380</v>
      </c>
      <c r="AU8">
        <v>134.33049</v>
      </c>
      <c r="AV8" s="5">
        <f t="shared" si="9"/>
        <v>-2.1350979248697544E-2</v>
      </c>
    </row>
    <row r="9" spans="1:48" x14ac:dyDescent="0.2">
      <c r="A9" s="1">
        <v>42381</v>
      </c>
      <c r="B9">
        <v>8.1422600000000003</v>
      </c>
      <c r="C9" s="5">
        <f t="shared" si="0"/>
        <v>-3.1007945671533261</v>
      </c>
      <c r="F9" s="1">
        <v>42381</v>
      </c>
      <c r="G9">
        <v>147.713989</v>
      </c>
      <c r="H9" s="5">
        <f t="shared" si="1"/>
        <v>0.69363093070474668</v>
      </c>
      <c r="K9" s="1">
        <v>42381</v>
      </c>
      <c r="L9">
        <v>97.992110999999994</v>
      </c>
      <c r="M9" s="5">
        <f t="shared" si="2"/>
        <v>1.7938073779588404</v>
      </c>
      <c r="P9" s="1">
        <v>42381</v>
      </c>
      <c r="Q9">
        <v>89.82</v>
      </c>
      <c r="R9" s="5">
        <f t="shared" si="3"/>
        <v>0.49228352513816948</v>
      </c>
      <c r="U9" s="1">
        <v>42381</v>
      </c>
      <c r="V9">
        <v>2.39</v>
      </c>
      <c r="W9" s="5">
        <f t="shared" si="4"/>
        <v>2.1367521367521483</v>
      </c>
      <c r="Z9" s="1">
        <v>42381</v>
      </c>
      <c r="AA9">
        <v>36.596305999999998</v>
      </c>
      <c r="AB9" s="5">
        <f t="shared" si="5"/>
        <v>2.5131133389017193</v>
      </c>
      <c r="AE9" s="1">
        <v>42381</v>
      </c>
      <c r="AF9">
        <v>208.24066199999999</v>
      </c>
      <c r="AG9" s="5">
        <f t="shared" si="6"/>
        <v>1.3473440237504766</v>
      </c>
      <c r="AJ9" s="1">
        <v>42381</v>
      </c>
      <c r="AK9">
        <v>51.295485999999997</v>
      </c>
      <c r="AL9" s="5">
        <f t="shared" si="7"/>
        <v>1.781746049856002</v>
      </c>
      <c r="AO9" s="1">
        <v>42381</v>
      </c>
      <c r="AP9">
        <v>39.718398999999998</v>
      </c>
      <c r="AQ9" s="5">
        <f t="shared" si="8"/>
        <v>1.7922749055782179</v>
      </c>
      <c r="AT9" s="1">
        <v>42381</v>
      </c>
      <c r="AU9">
        <v>134.71302800000001</v>
      </c>
      <c r="AV9" s="5">
        <f t="shared" si="9"/>
        <v>0.2847737695291746</v>
      </c>
    </row>
    <row r="10" spans="1:48" x14ac:dyDescent="0.2">
      <c r="A10" s="1">
        <v>42382</v>
      </c>
      <c r="B10">
        <v>8.0399019999999997</v>
      </c>
      <c r="C10" s="5">
        <f t="shared" si="0"/>
        <v>-1.257120258994439</v>
      </c>
      <c r="F10" s="1">
        <v>42382</v>
      </c>
      <c r="G10">
        <v>141.818207</v>
      </c>
      <c r="H10" s="5">
        <f t="shared" si="1"/>
        <v>-3.9913497969376461</v>
      </c>
      <c r="K10" s="1">
        <v>42382</v>
      </c>
      <c r="L10">
        <v>96.294387999999998</v>
      </c>
      <c r="M10" s="5">
        <f t="shared" si="2"/>
        <v>-1.7325098752082158</v>
      </c>
      <c r="P10" s="1">
        <v>42382</v>
      </c>
      <c r="Q10">
        <v>88.300003000000004</v>
      </c>
      <c r="R10" s="5">
        <f t="shared" si="3"/>
        <v>-1.692270095747038</v>
      </c>
      <c r="U10" s="1">
        <v>42382</v>
      </c>
      <c r="V10">
        <v>2.25</v>
      </c>
      <c r="W10" s="5">
        <f t="shared" si="4"/>
        <v>-5.8577405857740636</v>
      </c>
      <c r="Z10" s="1">
        <v>42382</v>
      </c>
      <c r="AA10">
        <v>34.368191000000003</v>
      </c>
      <c r="AB10" s="5">
        <f t="shared" si="5"/>
        <v>-6.0883603935326027</v>
      </c>
      <c r="AE10" s="1">
        <v>42382</v>
      </c>
      <c r="AF10">
        <v>198.74032600000001</v>
      </c>
      <c r="AG10" s="5">
        <f t="shared" si="6"/>
        <v>-4.5621906445917739</v>
      </c>
      <c r="AJ10" s="1">
        <v>42382</v>
      </c>
      <c r="AK10">
        <v>48.374847000000003</v>
      </c>
      <c r="AL10" s="5">
        <f t="shared" si="7"/>
        <v>-5.693754417299008</v>
      </c>
      <c r="AO10" s="1">
        <v>42382</v>
      </c>
      <c r="AP10">
        <v>38.831485999999998</v>
      </c>
      <c r="AQ10" s="5">
        <f t="shared" si="8"/>
        <v>-2.2330028962144217</v>
      </c>
      <c r="AT10" s="1">
        <v>42382</v>
      </c>
      <c r="AU10">
        <v>132.666428</v>
      </c>
      <c r="AV10" s="5">
        <f t="shared" si="9"/>
        <v>-1.5192294541846478</v>
      </c>
    </row>
    <row r="11" spans="1:48" x14ac:dyDescent="0.2">
      <c r="A11" s="1">
        <v>42383</v>
      </c>
      <c r="B11">
        <v>8.2353149999999999</v>
      </c>
      <c r="C11" s="5">
        <f t="shared" si="0"/>
        <v>2.4305395762286688</v>
      </c>
      <c r="F11" s="1">
        <v>42383</v>
      </c>
      <c r="G11">
        <v>140.98024000000001</v>
      </c>
      <c r="H11" s="5">
        <f t="shared" si="1"/>
        <v>-0.59087406174863855</v>
      </c>
      <c r="K11" s="1">
        <v>42383</v>
      </c>
      <c r="L11">
        <v>98.836112999999997</v>
      </c>
      <c r="M11" s="5">
        <f t="shared" si="2"/>
        <v>2.6395359613272578</v>
      </c>
      <c r="P11" s="1">
        <v>42383</v>
      </c>
      <c r="Q11">
        <v>89.800003000000004</v>
      </c>
      <c r="R11" s="5">
        <f t="shared" si="3"/>
        <v>1.6987541891702991</v>
      </c>
      <c r="U11" s="1">
        <v>42383</v>
      </c>
      <c r="V11">
        <v>2.21</v>
      </c>
      <c r="W11" s="5">
        <f t="shared" si="4"/>
        <v>-1.7777777777777795</v>
      </c>
      <c r="Z11" s="1">
        <v>42383</v>
      </c>
      <c r="AA11">
        <v>34.900573999999999</v>
      </c>
      <c r="AB11" s="5">
        <f t="shared" si="5"/>
        <v>1.5490573827409064</v>
      </c>
      <c r="AE11" s="1">
        <v>42383</v>
      </c>
      <c r="AF11">
        <v>206.13945000000001</v>
      </c>
      <c r="AG11" s="5">
        <f t="shared" si="6"/>
        <v>3.7230109001632616</v>
      </c>
      <c r="AJ11" s="1">
        <v>42383</v>
      </c>
      <c r="AK11">
        <v>51.569588000000003</v>
      </c>
      <c r="AL11" s="5">
        <f t="shared" si="7"/>
        <v>6.6041366497758647</v>
      </c>
      <c r="AO11" s="1">
        <v>42383</v>
      </c>
      <c r="AP11">
        <v>39.621997999999998</v>
      </c>
      <c r="AQ11" s="5">
        <f t="shared" si="8"/>
        <v>2.0357500611745833</v>
      </c>
      <c r="AT11" s="1">
        <v>42383</v>
      </c>
      <c r="AU11">
        <v>135.019058</v>
      </c>
      <c r="AV11" s="5">
        <f t="shared" si="9"/>
        <v>1.7733423862139448</v>
      </c>
    </row>
    <row r="12" spans="1:48" x14ac:dyDescent="0.2">
      <c r="A12" s="1">
        <v>42384</v>
      </c>
      <c r="B12">
        <v>7.946847</v>
      </c>
      <c r="C12" s="5">
        <f t="shared" si="0"/>
        <v>-3.502816832143032</v>
      </c>
      <c r="F12" s="1">
        <v>42384</v>
      </c>
      <c r="G12">
        <v>143.94306900000001</v>
      </c>
      <c r="H12" s="5">
        <f t="shared" si="1"/>
        <v>2.1015916840544455</v>
      </c>
      <c r="K12" s="1">
        <v>42384</v>
      </c>
      <c r="L12">
        <v>96.304091999999997</v>
      </c>
      <c r="M12" s="5">
        <f t="shared" si="2"/>
        <v>-2.5618378982589092</v>
      </c>
      <c r="P12" s="1">
        <v>42384</v>
      </c>
      <c r="Q12">
        <v>89.169998000000007</v>
      </c>
      <c r="R12" s="5">
        <f t="shared" si="3"/>
        <v>-0.7015645645357016</v>
      </c>
      <c r="U12" s="1">
        <v>42384</v>
      </c>
      <c r="V12">
        <v>2.0299999999999998</v>
      </c>
      <c r="W12" s="5">
        <f t="shared" si="4"/>
        <v>-8.1447963800905043</v>
      </c>
      <c r="Z12" s="1">
        <v>42384</v>
      </c>
      <c r="AA12">
        <v>34.417484000000002</v>
      </c>
      <c r="AB12" s="5">
        <f t="shared" si="5"/>
        <v>-1.3841892686349433</v>
      </c>
      <c r="AE12" s="1">
        <v>42384</v>
      </c>
      <c r="AF12">
        <v>202.342896</v>
      </c>
      <c r="AG12" s="5">
        <f t="shared" si="6"/>
        <v>-1.8417406275218133</v>
      </c>
      <c r="AJ12" s="1">
        <v>42384</v>
      </c>
      <c r="AK12">
        <v>54.197215999999997</v>
      </c>
      <c r="AL12" s="5">
        <f t="shared" si="7"/>
        <v>5.0953053958856405</v>
      </c>
      <c r="AO12" s="1">
        <v>42384</v>
      </c>
      <c r="AP12">
        <v>39.082141999999997</v>
      </c>
      <c r="AQ12" s="5">
        <f t="shared" si="8"/>
        <v>-1.3625158428406372</v>
      </c>
      <c r="AT12" s="1">
        <v>42384</v>
      </c>
      <c r="AU12">
        <v>132.63772599999999</v>
      </c>
      <c r="AV12" s="5">
        <f t="shared" si="9"/>
        <v>-1.7637006473560308</v>
      </c>
    </row>
    <row r="13" spans="1:48" x14ac:dyDescent="0.2">
      <c r="A13" s="1">
        <v>42388</v>
      </c>
      <c r="B13">
        <v>8.1143459999999994</v>
      </c>
      <c r="C13" s="5">
        <f t="shared" si="0"/>
        <v>2.1077415986491173</v>
      </c>
      <c r="F13" s="1">
        <v>42388</v>
      </c>
      <c r="G13">
        <v>144.27229299999999</v>
      </c>
      <c r="H13" s="5">
        <f t="shared" si="1"/>
        <v>0.22871820247210525</v>
      </c>
      <c r="K13" s="1">
        <v>42388</v>
      </c>
      <c r="L13">
        <v>98.351044000000002</v>
      </c>
      <c r="M13" s="5">
        <f t="shared" si="2"/>
        <v>2.125508851690336</v>
      </c>
      <c r="P13" s="1">
        <v>42388</v>
      </c>
      <c r="Q13">
        <v>89.18</v>
      </c>
      <c r="R13" s="5">
        <f t="shared" si="3"/>
        <v>1.1216777194499955E-2</v>
      </c>
      <c r="U13" s="1">
        <v>42388</v>
      </c>
      <c r="V13">
        <v>1.95</v>
      </c>
      <c r="W13" s="5">
        <f t="shared" si="4"/>
        <v>-3.9408866995073821</v>
      </c>
      <c r="Z13" s="1">
        <v>42388</v>
      </c>
      <c r="AA13">
        <v>34.654099000000002</v>
      </c>
      <c r="AB13" s="5">
        <f t="shared" si="5"/>
        <v>0.68748488413621534</v>
      </c>
      <c r="AE13" s="1">
        <v>42388</v>
      </c>
      <c r="AF13">
        <v>205.78070099999999</v>
      </c>
      <c r="AG13" s="5">
        <f t="shared" si="6"/>
        <v>1.6989996031291346</v>
      </c>
      <c r="AJ13" s="1">
        <v>42388</v>
      </c>
      <c r="AK13">
        <v>51.976021000000003</v>
      </c>
      <c r="AL13" s="5">
        <f t="shared" si="7"/>
        <v>-4.0983562698128164</v>
      </c>
      <c r="AO13" s="1">
        <v>42388</v>
      </c>
      <c r="AP13">
        <v>38.976092999999999</v>
      </c>
      <c r="AQ13" s="5">
        <f t="shared" si="8"/>
        <v>-0.27134899617323621</v>
      </c>
      <c r="AT13" s="1">
        <v>42388</v>
      </c>
      <c r="AU13">
        <v>132.35083</v>
      </c>
      <c r="AV13" s="5">
        <f t="shared" si="9"/>
        <v>-0.21630045135121248</v>
      </c>
    </row>
    <row r="14" spans="1:48" x14ac:dyDescent="0.2">
      <c r="A14" s="1">
        <v>42389</v>
      </c>
      <c r="B14">
        <v>8.0212889999999994</v>
      </c>
      <c r="C14" s="5">
        <f t="shared" si="0"/>
        <v>-1.1468207049588464</v>
      </c>
      <c r="F14" s="1">
        <v>42389</v>
      </c>
      <c r="G14">
        <v>143.04522700000001</v>
      </c>
      <c r="H14" s="5">
        <f t="shared" si="1"/>
        <v>-0.85052089662148744</v>
      </c>
      <c r="K14" s="1">
        <v>42389</v>
      </c>
      <c r="L14">
        <v>96.100364999999996</v>
      </c>
      <c r="M14" s="5">
        <f t="shared" si="2"/>
        <v>-2.2884139389511766</v>
      </c>
      <c r="P14" s="1">
        <v>42389</v>
      </c>
      <c r="Q14">
        <v>87.940002000000007</v>
      </c>
      <c r="R14" s="5">
        <f t="shared" si="3"/>
        <v>-1.3904440457501679</v>
      </c>
      <c r="U14" s="1">
        <v>42389</v>
      </c>
      <c r="V14">
        <v>1.8</v>
      </c>
      <c r="W14" s="5">
        <f t="shared" si="4"/>
        <v>-7.692307692307689</v>
      </c>
      <c r="Z14" s="1">
        <v>42389</v>
      </c>
      <c r="AA14">
        <v>34.220306000000001</v>
      </c>
      <c r="AB14" s="5">
        <f t="shared" si="5"/>
        <v>-1.2517797678133298</v>
      </c>
      <c r="AE14" s="1">
        <v>42389</v>
      </c>
      <c r="AF14">
        <v>201.525803</v>
      </c>
      <c r="AG14" s="5">
        <f t="shared" si="6"/>
        <v>-2.0676856378285917</v>
      </c>
      <c r="AJ14" s="1">
        <v>42389</v>
      </c>
      <c r="AK14">
        <v>54.017628000000002</v>
      </c>
      <c r="AL14" s="5">
        <f t="shared" si="7"/>
        <v>3.9279786346092154</v>
      </c>
      <c r="AO14" s="1">
        <v>42389</v>
      </c>
      <c r="AP14">
        <v>38.522998999999999</v>
      </c>
      <c r="AQ14" s="5">
        <f t="shared" si="8"/>
        <v>-1.1624920948336206</v>
      </c>
      <c r="AT14" s="1">
        <v>42389</v>
      </c>
      <c r="AU14">
        <v>130.983215</v>
      </c>
      <c r="AV14" s="5">
        <f t="shared" si="9"/>
        <v>-1.0333255938024724</v>
      </c>
    </row>
    <row r="15" spans="1:48" x14ac:dyDescent="0.2">
      <c r="A15" s="1">
        <v>42390</v>
      </c>
      <c r="B15">
        <v>8.4772569999999998</v>
      </c>
      <c r="C15" s="5">
        <f t="shared" si="0"/>
        <v>5.6844729070352704</v>
      </c>
      <c r="F15" s="1">
        <v>42390</v>
      </c>
      <c r="G15">
        <v>143.45425399999999</v>
      </c>
      <c r="H15" s="5">
        <f t="shared" si="1"/>
        <v>0.28594243134025049</v>
      </c>
      <c r="K15" s="1">
        <v>42390</v>
      </c>
      <c r="L15">
        <v>95.353378000000006</v>
      </c>
      <c r="M15" s="5">
        <f t="shared" si="2"/>
        <v>-0.77729881671103962</v>
      </c>
      <c r="P15" s="1">
        <v>42390</v>
      </c>
      <c r="Q15">
        <v>88</v>
      </c>
      <c r="R15" s="5">
        <f t="shared" si="3"/>
        <v>6.8226061673268001E-2</v>
      </c>
      <c r="U15" s="1">
        <v>42390</v>
      </c>
      <c r="V15">
        <v>2.09</v>
      </c>
      <c r="W15" s="5">
        <f t="shared" si="4"/>
        <v>16.1111111111111</v>
      </c>
      <c r="Z15" s="1">
        <v>42390</v>
      </c>
      <c r="AA15">
        <v>34.072426</v>
      </c>
      <c r="AB15" s="5">
        <f t="shared" si="5"/>
        <v>-0.43214108021126607</v>
      </c>
      <c r="AE15" s="1">
        <v>42390</v>
      </c>
      <c r="AF15">
        <v>195.935608</v>
      </c>
      <c r="AG15" s="5">
        <f t="shared" si="6"/>
        <v>-2.7739351074561873</v>
      </c>
      <c r="AJ15" s="1">
        <v>42390</v>
      </c>
      <c r="AK15">
        <v>55.161312000000002</v>
      </c>
      <c r="AL15" s="5">
        <f t="shared" si="7"/>
        <v>2.1172421713889404</v>
      </c>
      <c r="AO15" s="1">
        <v>42390</v>
      </c>
      <c r="AP15">
        <v>38.060257</v>
      </c>
      <c r="AQ15" s="5">
        <f t="shared" si="8"/>
        <v>-1.2012096981338309</v>
      </c>
      <c r="AT15" s="1">
        <v>42390</v>
      </c>
      <c r="AU15">
        <v>131.74830600000001</v>
      </c>
      <c r="AV15" s="5">
        <f t="shared" si="9"/>
        <v>0.58411377366177208</v>
      </c>
    </row>
    <row r="16" spans="1:48" x14ac:dyDescent="0.2">
      <c r="A16" s="1">
        <v>42391</v>
      </c>
      <c r="B16">
        <v>8.5330899999999996</v>
      </c>
      <c r="C16" s="5">
        <f t="shared" si="0"/>
        <v>0.658621061034245</v>
      </c>
      <c r="F16" s="1">
        <v>42391</v>
      </c>
      <c r="G16">
        <v>144.08274800000001</v>
      </c>
      <c r="H16" s="5">
        <f t="shared" si="1"/>
        <v>0.4381145783240542</v>
      </c>
      <c r="K16" s="1">
        <v>42391</v>
      </c>
      <c r="L16">
        <v>99.185355999999999</v>
      </c>
      <c r="M16" s="5">
        <f t="shared" si="2"/>
        <v>4.0187123732522529</v>
      </c>
      <c r="P16" s="1">
        <v>42391</v>
      </c>
      <c r="Q16">
        <v>89.629997000000003</v>
      </c>
      <c r="R16" s="5">
        <f t="shared" si="3"/>
        <v>1.8522693181818217</v>
      </c>
      <c r="U16" s="1">
        <v>42391</v>
      </c>
      <c r="V16">
        <v>2.02</v>
      </c>
      <c r="W16" s="5">
        <f t="shared" si="4"/>
        <v>-3.3492822966507103</v>
      </c>
      <c r="Z16" s="1">
        <v>42391</v>
      </c>
      <c r="AA16">
        <v>35.413235</v>
      </c>
      <c r="AB16" s="5">
        <f t="shared" si="5"/>
        <v>3.9351732688479539</v>
      </c>
      <c r="AE16" s="1">
        <v>42391</v>
      </c>
      <c r="AF16">
        <v>198.86523399999999</v>
      </c>
      <c r="AG16" s="5">
        <f t="shared" si="6"/>
        <v>1.4951983612901973</v>
      </c>
      <c r="AJ16" s="1">
        <v>42391</v>
      </c>
      <c r="AK16">
        <v>55.605553</v>
      </c>
      <c r="AL16" s="5">
        <f t="shared" si="7"/>
        <v>0.80534886479857126</v>
      </c>
      <c r="AO16" s="1">
        <v>42391</v>
      </c>
      <c r="AP16">
        <v>38.590477</v>
      </c>
      <c r="AQ16" s="5">
        <f t="shared" si="8"/>
        <v>1.3931067254748173</v>
      </c>
      <c r="AT16" s="1">
        <v>42391</v>
      </c>
      <c r="AU16">
        <v>133.43150299999999</v>
      </c>
      <c r="AV16" s="5">
        <f t="shared" si="9"/>
        <v>1.2775853072448449</v>
      </c>
    </row>
    <row r="17" spans="1:48" x14ac:dyDescent="0.2">
      <c r="A17" s="1">
        <v>42394</v>
      </c>
      <c r="B17">
        <v>8.1329550000000008</v>
      </c>
      <c r="C17" s="5">
        <f t="shared" si="0"/>
        <v>-4.6892157471677764</v>
      </c>
      <c r="F17" s="1">
        <v>42394</v>
      </c>
      <c r="G17">
        <v>144.37202500000001</v>
      </c>
      <c r="H17" s="5">
        <f t="shared" si="1"/>
        <v>0.2007714344815234</v>
      </c>
      <c r="K17" s="1">
        <v>42394</v>
      </c>
      <c r="L17">
        <v>98.709998999999996</v>
      </c>
      <c r="M17" s="5">
        <f t="shared" si="2"/>
        <v>-0.4792612732065028</v>
      </c>
      <c r="P17" s="1">
        <v>42394</v>
      </c>
      <c r="Q17">
        <v>86.769997000000004</v>
      </c>
      <c r="R17" s="5">
        <f t="shared" si="3"/>
        <v>-3.1908960121910961</v>
      </c>
      <c r="U17" s="1">
        <v>42394</v>
      </c>
      <c r="V17">
        <v>2.12</v>
      </c>
      <c r="W17" s="5">
        <f t="shared" si="4"/>
        <v>4.9504950495049549</v>
      </c>
      <c r="Z17" s="1">
        <v>42394</v>
      </c>
      <c r="AA17">
        <v>34.240025000000003</v>
      </c>
      <c r="AB17" s="5">
        <f t="shared" si="5"/>
        <v>-3.312913943049816</v>
      </c>
      <c r="AE17" s="1">
        <v>42394</v>
      </c>
      <c r="AF17">
        <v>191.70062300000001</v>
      </c>
      <c r="AG17" s="5">
        <f t="shared" si="6"/>
        <v>-3.6027468732920807</v>
      </c>
      <c r="AJ17" s="1">
        <v>42394</v>
      </c>
      <c r="AK17">
        <v>55.435425000000002</v>
      </c>
      <c r="AL17" s="5">
        <f t="shared" si="7"/>
        <v>-0.30595505452485705</v>
      </c>
      <c r="AO17" s="1">
        <v>42394</v>
      </c>
      <c r="AP17">
        <v>38.233784</v>
      </c>
      <c r="AQ17" s="5">
        <f t="shared" si="8"/>
        <v>-0.92430316422365011</v>
      </c>
      <c r="AT17" s="1">
        <v>42394</v>
      </c>
      <c r="AU17">
        <v>131.56660500000001</v>
      </c>
      <c r="AV17" s="5">
        <f t="shared" si="9"/>
        <v>-1.3976444528245946</v>
      </c>
    </row>
    <row r="18" spans="1:48" x14ac:dyDescent="0.2">
      <c r="A18" s="1">
        <v>42395</v>
      </c>
      <c r="B18">
        <v>8.4121190000000006</v>
      </c>
      <c r="C18" s="5">
        <f t="shared" si="0"/>
        <v>3.4325039299983797</v>
      </c>
      <c r="F18" s="1">
        <v>42395</v>
      </c>
      <c r="G18">
        <v>151.10581999999999</v>
      </c>
      <c r="H18" s="5">
        <f t="shared" si="1"/>
        <v>4.6641965436170798</v>
      </c>
      <c r="K18" s="1">
        <v>42395</v>
      </c>
      <c r="L18">
        <v>99.46669</v>
      </c>
      <c r="M18" s="5">
        <f t="shared" si="2"/>
        <v>0.76657988822389067</v>
      </c>
      <c r="P18" s="1">
        <v>42395</v>
      </c>
      <c r="Q18">
        <v>86.889999000000003</v>
      </c>
      <c r="R18" s="5">
        <f t="shared" si="3"/>
        <v>0.13829895603200204</v>
      </c>
      <c r="U18" s="1">
        <v>42395</v>
      </c>
      <c r="V18">
        <v>2.0699999999999998</v>
      </c>
      <c r="W18" s="5">
        <f t="shared" si="4"/>
        <v>-2.358490566037748</v>
      </c>
      <c r="Z18" s="1">
        <v>42395</v>
      </c>
      <c r="AA18">
        <v>34.801983</v>
      </c>
      <c r="AB18" s="5">
        <f t="shared" si="5"/>
        <v>1.641231278306593</v>
      </c>
      <c r="AE18" s="1">
        <v>42395</v>
      </c>
      <c r="AF18">
        <v>194.03234900000001</v>
      </c>
      <c r="AG18" s="5">
        <f t="shared" si="6"/>
        <v>1.2163372051221781</v>
      </c>
      <c r="AJ18" s="1">
        <v>42395</v>
      </c>
      <c r="AK18">
        <v>55.066792</v>
      </c>
      <c r="AL18" s="5">
        <f t="shared" si="7"/>
        <v>-0.66497731369427149</v>
      </c>
      <c r="AO18" s="1">
        <v>42395</v>
      </c>
      <c r="AP18">
        <v>38.715809</v>
      </c>
      <c r="AQ18" s="5">
        <f t="shared" si="8"/>
        <v>1.2607305622692229</v>
      </c>
      <c r="AT18" s="1">
        <v>42395</v>
      </c>
      <c r="AU18">
        <v>138.461975</v>
      </c>
      <c r="AV18" s="5">
        <f t="shared" si="9"/>
        <v>5.2409728137318625</v>
      </c>
    </row>
    <row r="19" spans="1:48" x14ac:dyDescent="0.2">
      <c r="A19" s="1">
        <v>42396</v>
      </c>
      <c r="B19">
        <v>8.4493399999999994</v>
      </c>
      <c r="C19" s="5">
        <f t="shared" si="0"/>
        <v>0.44246877629761105</v>
      </c>
      <c r="F19" s="1">
        <v>42396</v>
      </c>
      <c r="G19">
        <v>151.15570099999999</v>
      </c>
      <c r="H19" s="5">
        <f t="shared" si="1"/>
        <v>3.3010641152008025E-2</v>
      </c>
      <c r="K19" s="1">
        <v>42396</v>
      </c>
      <c r="L19">
        <v>98.913719</v>
      </c>
      <c r="M19" s="5">
        <f t="shared" si="2"/>
        <v>-0.55593586154319552</v>
      </c>
      <c r="P19" s="1">
        <v>42396</v>
      </c>
      <c r="Q19">
        <v>84.849997999999999</v>
      </c>
      <c r="R19" s="5">
        <f t="shared" si="3"/>
        <v>-2.3477972418897179</v>
      </c>
      <c r="U19" s="1">
        <v>42396</v>
      </c>
      <c r="V19">
        <v>2.13</v>
      </c>
      <c r="W19" s="5">
        <f t="shared" si="4"/>
        <v>2.8985507246376838</v>
      </c>
      <c r="Z19" s="1">
        <v>42396</v>
      </c>
      <c r="AA19">
        <v>33.589336000000003</v>
      </c>
      <c r="AB19" s="5">
        <f t="shared" si="5"/>
        <v>-3.4844192642700755</v>
      </c>
      <c r="AE19" s="1">
        <v>42396</v>
      </c>
      <c r="AF19">
        <v>193.593918</v>
      </c>
      <c r="AG19" s="5">
        <f t="shared" si="6"/>
        <v>-0.22595768296347762</v>
      </c>
      <c r="AJ19" s="1">
        <v>42396</v>
      </c>
      <c r="AK19">
        <v>53.979827999999998</v>
      </c>
      <c r="AL19" s="5">
        <f t="shared" si="7"/>
        <v>-1.9739010763510645</v>
      </c>
      <c r="AO19" s="1">
        <v>42396</v>
      </c>
      <c r="AP19">
        <v>39.014656000000002</v>
      </c>
      <c r="AQ19" s="5">
        <f t="shared" si="8"/>
        <v>0.77189914848480135</v>
      </c>
      <c r="AT19" s="1">
        <v>42396</v>
      </c>
      <c r="AU19">
        <v>139.19834900000001</v>
      </c>
      <c r="AV19" s="5">
        <f t="shared" si="9"/>
        <v>0.5318239899438183</v>
      </c>
    </row>
    <row r="20" spans="1:48" x14ac:dyDescent="0.2">
      <c r="A20" s="1">
        <v>42397</v>
      </c>
      <c r="B20">
        <v>8.5237859999999994</v>
      </c>
      <c r="C20" s="5">
        <f t="shared" si="0"/>
        <v>0.88108657007529601</v>
      </c>
      <c r="F20" s="1">
        <v>42397</v>
      </c>
      <c r="G20">
        <v>148.20282</v>
      </c>
      <c r="H20" s="5">
        <f t="shared" si="1"/>
        <v>-1.9535359767872671</v>
      </c>
      <c r="K20" s="1">
        <v>42397</v>
      </c>
      <c r="L20">
        <v>100.00026699999999</v>
      </c>
      <c r="M20" s="5">
        <f t="shared" si="2"/>
        <v>1.0984805858932403</v>
      </c>
      <c r="P20" s="1">
        <v>42397</v>
      </c>
      <c r="Q20">
        <v>84.519997000000004</v>
      </c>
      <c r="R20" s="5">
        <f t="shared" si="3"/>
        <v>-0.38892281411720925</v>
      </c>
      <c r="U20" s="1">
        <v>42397</v>
      </c>
      <c r="V20">
        <v>2.08</v>
      </c>
      <c r="W20" s="5">
        <f t="shared" si="4"/>
        <v>-2.3474178403755785</v>
      </c>
      <c r="Z20" s="1">
        <v>42397</v>
      </c>
      <c r="AA20">
        <v>33.313285999999998</v>
      </c>
      <c r="AB20" s="5">
        <f t="shared" si="5"/>
        <v>-0.82183821674833046</v>
      </c>
      <c r="AE20" s="1">
        <v>42397</v>
      </c>
      <c r="AF20">
        <v>189.109802</v>
      </c>
      <c r="AG20" s="5">
        <f t="shared" si="6"/>
        <v>-2.3162483854477287</v>
      </c>
      <c r="AJ20" s="1">
        <v>42397</v>
      </c>
      <c r="AK20">
        <v>52.788887000000003</v>
      </c>
      <c r="AL20" s="5">
        <f t="shared" si="7"/>
        <v>-2.2062704608840087</v>
      </c>
      <c r="AO20" s="1">
        <v>42397</v>
      </c>
      <c r="AP20">
        <v>35.389870000000002</v>
      </c>
      <c r="AQ20" s="5">
        <f t="shared" si="8"/>
        <v>-9.2908316300417972</v>
      </c>
      <c r="AT20" s="1">
        <v>42397</v>
      </c>
      <c r="AU20">
        <v>140.89111299999999</v>
      </c>
      <c r="AV20" s="5">
        <f t="shared" si="9"/>
        <v>1.2160805154377099</v>
      </c>
    </row>
    <row r="21" spans="1:48" x14ac:dyDescent="0.2">
      <c r="A21" s="1">
        <v>42398</v>
      </c>
      <c r="B21">
        <v>8.9476189999999995</v>
      </c>
      <c r="C21" s="5">
        <f t="shared" si="0"/>
        <v>4.9723561806924783</v>
      </c>
      <c r="F21" s="1">
        <v>42398</v>
      </c>
      <c r="G21">
        <v>151.68443300000001</v>
      </c>
      <c r="H21" s="5">
        <f t="shared" si="1"/>
        <v>2.3492218299220013</v>
      </c>
      <c r="K21" s="1">
        <v>42398</v>
      </c>
      <c r="L21">
        <v>102.386765</v>
      </c>
      <c r="M21" s="5">
        <f t="shared" si="2"/>
        <v>2.3864916280673563</v>
      </c>
      <c r="P21" s="1">
        <v>42398</v>
      </c>
      <c r="Q21">
        <v>89.129997000000003</v>
      </c>
      <c r="R21" s="5">
        <f t="shared" si="3"/>
        <v>5.4543305296141922</v>
      </c>
      <c r="U21" s="1">
        <v>42398</v>
      </c>
      <c r="V21">
        <v>2.2000000000000002</v>
      </c>
      <c r="W21" s="5">
        <f t="shared" si="4"/>
        <v>5.7692307692307745</v>
      </c>
      <c r="Z21" s="1">
        <v>42398</v>
      </c>
      <c r="AA21">
        <v>34.328754000000004</v>
      </c>
      <c r="AB21" s="5">
        <f t="shared" si="5"/>
        <v>3.0482372708594574</v>
      </c>
      <c r="AE21" s="1">
        <v>42398</v>
      </c>
      <c r="AF21">
        <v>201.71511799999999</v>
      </c>
      <c r="AG21" s="5">
        <f t="shared" si="6"/>
        <v>6.6656068943480724</v>
      </c>
      <c r="AJ21" s="1">
        <v>42398</v>
      </c>
      <c r="AK21">
        <v>51.890957</v>
      </c>
      <c r="AL21" s="5">
        <f t="shared" si="7"/>
        <v>-1.7009830118221707</v>
      </c>
      <c r="AO21" s="1">
        <v>42398</v>
      </c>
      <c r="AP21">
        <v>36.488864999999997</v>
      </c>
      <c r="AQ21" s="5">
        <f t="shared" si="8"/>
        <v>3.1053942837314605</v>
      </c>
      <c r="AT21" s="1">
        <v>42398</v>
      </c>
      <c r="AU21">
        <v>144.410538</v>
      </c>
      <c r="AV21" s="5">
        <f t="shared" si="9"/>
        <v>2.4979751561761123</v>
      </c>
    </row>
    <row r="22" spans="1:48" x14ac:dyDescent="0.2">
      <c r="A22" s="1">
        <v>42401</v>
      </c>
      <c r="B22">
        <v>8.9099450000000004</v>
      </c>
      <c r="C22" s="5">
        <f t="shared" si="0"/>
        <v>-0.42105056104868899</v>
      </c>
      <c r="F22" s="1">
        <v>42401</v>
      </c>
      <c r="G22">
        <v>154.51757799999999</v>
      </c>
      <c r="H22" s="5">
        <f t="shared" si="1"/>
        <v>1.8677888982846205</v>
      </c>
      <c r="K22" s="1">
        <v>42401</v>
      </c>
      <c r="L22">
        <v>103.104652</v>
      </c>
      <c r="M22" s="5">
        <f t="shared" si="2"/>
        <v>0.70115214598293507</v>
      </c>
      <c r="P22" s="1">
        <v>42401</v>
      </c>
      <c r="Q22">
        <v>89.610000999999997</v>
      </c>
      <c r="R22" s="5">
        <f t="shared" si="3"/>
        <v>0.53854371833984671</v>
      </c>
      <c r="U22" s="1">
        <v>42401</v>
      </c>
      <c r="V22">
        <v>2.14</v>
      </c>
      <c r="W22" s="5">
        <f t="shared" si="4"/>
        <v>-2.7272727272727297</v>
      </c>
      <c r="Z22" s="1">
        <v>42401</v>
      </c>
      <c r="AA22">
        <v>34.180869999999999</v>
      </c>
      <c r="AB22" s="5">
        <f t="shared" si="5"/>
        <v>-0.43078755494593479</v>
      </c>
      <c r="AE22" s="1">
        <v>42401</v>
      </c>
      <c r="AF22">
        <v>199.45313999999999</v>
      </c>
      <c r="AG22" s="5">
        <f t="shared" si="6"/>
        <v>-1.1213725686143163</v>
      </c>
      <c r="AJ22" s="1">
        <v>42401</v>
      </c>
      <c r="AK22">
        <v>51.408904999999997</v>
      </c>
      <c r="AL22" s="5">
        <f t="shared" si="7"/>
        <v>-0.92897111147902534</v>
      </c>
      <c r="AO22" s="1">
        <v>42401</v>
      </c>
      <c r="AP22">
        <v>37.067295000000001</v>
      </c>
      <c r="AQ22" s="5">
        <f t="shared" si="8"/>
        <v>1.5852233277193044</v>
      </c>
      <c r="AT22" s="1">
        <v>42401</v>
      </c>
      <c r="AU22">
        <v>142.239609</v>
      </c>
      <c r="AV22" s="5">
        <f t="shared" si="9"/>
        <v>-1.5033037270451834</v>
      </c>
    </row>
    <row r="23" spans="1:48" x14ac:dyDescent="0.2">
      <c r="A23" s="1">
        <v>42402</v>
      </c>
      <c r="B23">
        <v>8.7498290000000001</v>
      </c>
      <c r="C23" s="5">
        <f t="shared" si="0"/>
        <v>-1.797048129926732</v>
      </c>
      <c r="F23" s="1">
        <v>42402</v>
      </c>
      <c r="G23">
        <v>151.49487300000001</v>
      </c>
      <c r="H23" s="5">
        <f t="shared" si="1"/>
        <v>-1.9562207996814278</v>
      </c>
      <c r="K23" s="1">
        <v>42402</v>
      </c>
      <c r="L23">
        <v>100.718147</v>
      </c>
      <c r="M23" s="5">
        <f t="shared" si="2"/>
        <v>-2.3146433780698854</v>
      </c>
      <c r="P23" s="1">
        <v>42402</v>
      </c>
      <c r="Q23">
        <v>87.949996999999996</v>
      </c>
      <c r="R23" s="5">
        <f t="shared" si="3"/>
        <v>-1.8524762654561302</v>
      </c>
      <c r="U23" s="1">
        <v>42402</v>
      </c>
      <c r="V23">
        <v>1.99</v>
      </c>
      <c r="W23" s="5">
        <f t="shared" si="4"/>
        <v>-7.0093457943925301</v>
      </c>
      <c r="Z23" s="1">
        <v>42402</v>
      </c>
      <c r="AA23">
        <v>32.948504999999997</v>
      </c>
      <c r="AB23" s="5">
        <f t="shared" si="5"/>
        <v>-3.6054231504347363</v>
      </c>
      <c r="AE23" s="1">
        <v>42402</v>
      </c>
      <c r="AF23">
        <v>195.806061</v>
      </c>
      <c r="AG23" s="5">
        <f t="shared" si="6"/>
        <v>-1.8285392749394624</v>
      </c>
      <c r="AJ23" s="1">
        <v>42402</v>
      </c>
      <c r="AK23">
        <v>50.993023000000001</v>
      </c>
      <c r="AL23" s="5">
        <f t="shared" si="7"/>
        <v>-0.80896879635930075</v>
      </c>
      <c r="AO23" s="1">
        <v>42402</v>
      </c>
      <c r="AP23">
        <v>36.517798999999997</v>
      </c>
      <c r="AQ23" s="5">
        <f t="shared" si="8"/>
        <v>-1.4824281081206623</v>
      </c>
      <c r="AT23" s="1">
        <v>42402</v>
      </c>
      <c r="AU23">
        <v>141.41712999999999</v>
      </c>
      <c r="AV23" s="5">
        <f t="shared" si="9"/>
        <v>-0.57823485721197077</v>
      </c>
    </row>
    <row r="24" spans="1:48" x14ac:dyDescent="0.2">
      <c r="A24" s="1">
        <v>42403</v>
      </c>
      <c r="B24">
        <v>9.1830839999999991</v>
      </c>
      <c r="C24" s="5">
        <f t="shared" si="0"/>
        <v>4.9515824823547865</v>
      </c>
      <c r="F24" s="1">
        <v>42403</v>
      </c>
      <c r="G24">
        <v>147.58431999999999</v>
      </c>
      <c r="H24" s="5">
        <f t="shared" si="1"/>
        <v>-2.5813104579453463</v>
      </c>
      <c r="K24" s="1">
        <v>42403</v>
      </c>
      <c r="L24">
        <v>99.049537999999998</v>
      </c>
      <c r="M24" s="5">
        <f t="shared" si="2"/>
        <v>-1.6567113769477941</v>
      </c>
      <c r="P24" s="1">
        <v>42403</v>
      </c>
      <c r="Q24">
        <v>87.989998</v>
      </c>
      <c r="R24" s="5">
        <f t="shared" si="3"/>
        <v>4.548152514434279E-2</v>
      </c>
      <c r="U24" s="1">
        <v>42403</v>
      </c>
      <c r="V24">
        <v>2.0699999999999998</v>
      </c>
      <c r="W24" s="5">
        <f t="shared" si="4"/>
        <v>4.0201005025125554</v>
      </c>
      <c r="Z24" s="1">
        <v>42403</v>
      </c>
      <c r="AA24">
        <v>32.652737000000002</v>
      </c>
      <c r="AB24" s="5">
        <f t="shared" si="5"/>
        <v>-0.89766743589730513</v>
      </c>
      <c r="AE24" s="1">
        <v>42403</v>
      </c>
      <c r="AF24">
        <v>193.67363</v>
      </c>
      <c r="AG24" s="5">
        <f t="shared" si="6"/>
        <v>-1.0890526008793961</v>
      </c>
      <c r="AJ24" s="1">
        <v>42403</v>
      </c>
      <c r="AK24">
        <v>53.724625000000003</v>
      </c>
      <c r="AL24" s="5">
        <f t="shared" si="7"/>
        <v>5.3568151862657807</v>
      </c>
      <c r="AO24" s="1">
        <v>42403</v>
      </c>
      <c r="AP24">
        <v>36.652763</v>
      </c>
      <c r="AQ24" s="5">
        <f t="shared" si="8"/>
        <v>0.36958415812520257</v>
      </c>
      <c r="AT24" s="1">
        <v>42403</v>
      </c>
      <c r="AU24">
        <v>145.86421200000001</v>
      </c>
      <c r="AV24" s="5">
        <f t="shared" si="9"/>
        <v>3.1446558136203326</v>
      </c>
    </row>
    <row r="25" spans="1:48" x14ac:dyDescent="0.2">
      <c r="A25" s="1">
        <v>42404</v>
      </c>
      <c r="B25">
        <v>9.2301749999999991</v>
      </c>
      <c r="C25" s="5">
        <f t="shared" si="0"/>
        <v>0.51280158169085688</v>
      </c>
      <c r="F25" s="1">
        <v>42404</v>
      </c>
      <c r="G25">
        <v>147.49452199999999</v>
      </c>
      <c r="H25" s="5">
        <f t="shared" si="1"/>
        <v>-6.0845217161282321E-2</v>
      </c>
      <c r="K25" s="1">
        <v>42404</v>
      </c>
      <c r="L25">
        <v>99.660720999999995</v>
      </c>
      <c r="M25" s="5">
        <f t="shared" si="2"/>
        <v>0.61704780490747657</v>
      </c>
      <c r="P25" s="1">
        <v>42404</v>
      </c>
      <c r="Q25">
        <v>86.360000999999997</v>
      </c>
      <c r="R25" s="5">
        <f t="shared" si="3"/>
        <v>-1.8524798693597004</v>
      </c>
      <c r="U25" s="1">
        <v>42404</v>
      </c>
      <c r="V25">
        <v>2.09</v>
      </c>
      <c r="W25" s="5">
        <f t="shared" si="4"/>
        <v>0.96618357487922801</v>
      </c>
      <c r="Z25" s="1">
        <v>42404</v>
      </c>
      <c r="AA25">
        <v>31.489388000000002</v>
      </c>
      <c r="AB25" s="5">
        <f t="shared" si="5"/>
        <v>-3.5627916887947251</v>
      </c>
      <c r="AE25" s="1">
        <v>42404</v>
      </c>
      <c r="AF25">
        <v>194.779709</v>
      </c>
      <c r="AG25" s="5">
        <f t="shared" si="6"/>
        <v>0.57110459487953724</v>
      </c>
      <c r="AJ25" s="1">
        <v>42404</v>
      </c>
      <c r="AK25">
        <v>53.649002000000003</v>
      </c>
      <c r="AL25" s="5">
        <f t="shared" si="7"/>
        <v>-0.14076040549375676</v>
      </c>
      <c r="AO25" s="1">
        <v>42404</v>
      </c>
      <c r="AP25">
        <v>36.643124</v>
      </c>
      <c r="AQ25" s="5">
        <f t="shared" si="8"/>
        <v>-2.6298153839043329E-2</v>
      </c>
      <c r="AT25" s="1">
        <v>42404</v>
      </c>
      <c r="AU25">
        <v>146.744034</v>
      </c>
      <c r="AV25" s="5">
        <f t="shared" si="9"/>
        <v>0.60317879755178738</v>
      </c>
    </row>
    <row r="26" spans="1:48" x14ac:dyDescent="0.2">
      <c r="A26" s="1">
        <v>42405</v>
      </c>
      <c r="B26">
        <v>9.1830839999999991</v>
      </c>
      <c r="C26" s="5">
        <f t="shared" si="0"/>
        <v>-0.51018534318146724</v>
      </c>
      <c r="F26" s="1">
        <v>42405</v>
      </c>
      <c r="G26">
        <v>143.59393299999999</v>
      </c>
      <c r="H26" s="5">
        <f t="shared" si="1"/>
        <v>-2.6445653351112233</v>
      </c>
      <c r="K26" s="1">
        <v>42405</v>
      </c>
      <c r="L26">
        <v>96.013062000000005</v>
      </c>
      <c r="M26" s="5">
        <f t="shared" si="2"/>
        <v>-3.6600768722112598</v>
      </c>
      <c r="P26" s="1">
        <v>42405</v>
      </c>
      <c r="Q26">
        <v>79.199996999999996</v>
      </c>
      <c r="R26" s="5">
        <f t="shared" si="3"/>
        <v>-8.2908799410504876</v>
      </c>
      <c r="U26" s="1">
        <v>42405</v>
      </c>
      <c r="V26">
        <v>1.98</v>
      </c>
      <c r="W26" s="5">
        <f t="shared" si="4"/>
        <v>-5.2631578947368363</v>
      </c>
      <c r="Z26" s="1">
        <v>42405</v>
      </c>
      <c r="AA26">
        <v>30.099278999999999</v>
      </c>
      <c r="AB26" s="5">
        <f t="shared" si="5"/>
        <v>-4.4145316511073585</v>
      </c>
      <c r="AE26" s="1">
        <v>42405</v>
      </c>
      <c r="AF26">
        <v>183.69899000000001</v>
      </c>
      <c r="AG26" s="5">
        <f t="shared" si="6"/>
        <v>-5.6888466755025231</v>
      </c>
      <c r="AJ26" s="1">
        <v>42405</v>
      </c>
      <c r="AK26">
        <v>50.208514999999998</v>
      </c>
      <c r="AL26" s="5">
        <f t="shared" si="7"/>
        <v>-6.412956200005369</v>
      </c>
      <c r="AO26" s="1">
        <v>42405</v>
      </c>
      <c r="AP26">
        <v>36.064697000000002</v>
      </c>
      <c r="AQ26" s="5">
        <f t="shared" si="8"/>
        <v>-1.5785417204057104</v>
      </c>
      <c r="AT26" s="1">
        <v>42405</v>
      </c>
      <c r="AU26">
        <v>146.77273600000001</v>
      </c>
      <c r="AV26" s="5">
        <f t="shared" si="9"/>
        <v>1.955922787294356E-2</v>
      </c>
    </row>
    <row r="27" spans="1:48" x14ac:dyDescent="0.2">
      <c r="A27" s="1">
        <v>42408</v>
      </c>
      <c r="B27">
        <v>8.8911079999999991</v>
      </c>
      <c r="C27" s="5">
        <f t="shared" si="0"/>
        <v>-3.1794983036200044</v>
      </c>
      <c r="F27" s="1">
        <v>42408</v>
      </c>
      <c r="G27">
        <v>141.109894</v>
      </c>
      <c r="H27" s="5">
        <f t="shared" si="1"/>
        <v>-1.7299052599945124</v>
      </c>
      <c r="K27" s="1">
        <v>42408</v>
      </c>
      <c r="L27">
        <v>92.229568</v>
      </c>
      <c r="M27" s="5">
        <f t="shared" si="2"/>
        <v>-3.940603414981187</v>
      </c>
      <c r="P27" s="1">
        <v>42408</v>
      </c>
      <c r="Q27">
        <v>74.940002000000007</v>
      </c>
      <c r="R27" s="5">
        <f t="shared" si="3"/>
        <v>-5.3787817693982856</v>
      </c>
      <c r="U27" s="1">
        <v>42408</v>
      </c>
      <c r="V27">
        <v>1.93</v>
      </c>
      <c r="W27" s="5">
        <f t="shared" si="4"/>
        <v>-2.5252525252525277</v>
      </c>
      <c r="Z27" s="1">
        <v>42408</v>
      </c>
      <c r="AA27">
        <v>28.314813999999998</v>
      </c>
      <c r="AB27" s="5">
        <f t="shared" si="5"/>
        <v>-5.9285971600848013</v>
      </c>
      <c r="AE27" s="1">
        <v>42408</v>
      </c>
      <c r="AF27">
        <v>176.59416200000001</v>
      </c>
      <c r="AG27" s="5">
        <f t="shared" si="6"/>
        <v>-3.86764674100821</v>
      </c>
      <c r="AJ27" s="1">
        <v>42408</v>
      </c>
      <c r="AK27">
        <v>49.991118999999998</v>
      </c>
      <c r="AL27" s="5">
        <f t="shared" si="7"/>
        <v>-0.43298631716154284</v>
      </c>
      <c r="AO27" s="1">
        <v>42408</v>
      </c>
      <c r="AP27">
        <v>36.112895999999999</v>
      </c>
      <c r="AQ27" s="5">
        <f t="shared" si="8"/>
        <v>0.13364593081149906</v>
      </c>
      <c r="AT27" s="1">
        <v>42408</v>
      </c>
      <c r="AU27">
        <v>147.183975</v>
      </c>
      <c r="AV27" s="5">
        <f t="shared" si="9"/>
        <v>0.28018759560358319</v>
      </c>
    </row>
    <row r="28" spans="1:48" x14ac:dyDescent="0.2">
      <c r="A28" s="1">
        <v>42409</v>
      </c>
      <c r="B28">
        <v>8.9570369999999997</v>
      </c>
      <c r="C28" s="5">
        <f t="shared" si="0"/>
        <v>0.74151613049802767</v>
      </c>
      <c r="F28" s="1">
        <v>42409</v>
      </c>
      <c r="G28">
        <v>141.159775</v>
      </c>
      <c r="H28" s="5">
        <f t="shared" si="1"/>
        <v>3.5349045049951761E-2</v>
      </c>
      <c r="K28" s="1">
        <v>42409</v>
      </c>
      <c r="L28">
        <v>90.531859999999995</v>
      </c>
      <c r="M28" s="5">
        <f t="shared" si="2"/>
        <v>-1.8407415721604659</v>
      </c>
      <c r="P28" s="1">
        <v>42409</v>
      </c>
      <c r="Q28">
        <v>73.849997999999999</v>
      </c>
      <c r="R28" s="5">
        <f t="shared" si="3"/>
        <v>-1.4545022296636814</v>
      </c>
      <c r="U28" s="1">
        <v>42409</v>
      </c>
      <c r="V28">
        <v>1.9</v>
      </c>
      <c r="W28" s="5">
        <f t="shared" si="4"/>
        <v>-1.5544041450777215</v>
      </c>
      <c r="Z28" s="1">
        <v>42409</v>
      </c>
      <c r="AA28">
        <v>28.403542999999999</v>
      </c>
      <c r="AB28" s="5">
        <f t="shared" si="5"/>
        <v>0.31336599986141789</v>
      </c>
      <c r="AE28" s="1">
        <v>42409</v>
      </c>
      <c r="AF28">
        <v>179.37429800000001</v>
      </c>
      <c r="AG28" s="5">
        <f t="shared" si="6"/>
        <v>1.5743079887318125</v>
      </c>
      <c r="AJ28" s="1">
        <v>42409</v>
      </c>
      <c r="AK28">
        <v>50.548782000000003</v>
      </c>
      <c r="AL28" s="5">
        <f t="shared" si="7"/>
        <v>1.11552413939765</v>
      </c>
      <c r="AO28" s="1">
        <v>42409</v>
      </c>
      <c r="AP28">
        <v>35.669437000000002</v>
      </c>
      <c r="AQ28" s="5">
        <f t="shared" si="8"/>
        <v>-1.2279796114939028</v>
      </c>
      <c r="AT28" s="1">
        <v>42409</v>
      </c>
      <c r="AU28">
        <v>147.98732000000001</v>
      </c>
      <c r="AV28" s="5">
        <f t="shared" si="9"/>
        <v>0.54581009923125612</v>
      </c>
    </row>
    <row r="29" spans="1:48" x14ac:dyDescent="0.2">
      <c r="A29" s="1">
        <v>42410</v>
      </c>
      <c r="B29">
        <v>8.975873</v>
      </c>
      <c r="C29" s="5">
        <f t="shared" si="0"/>
        <v>0.21029275641041004</v>
      </c>
      <c r="F29" s="1">
        <v>42410</v>
      </c>
      <c r="G29">
        <v>138.23684700000001</v>
      </c>
      <c r="H29" s="5">
        <f t="shared" si="1"/>
        <v>-2.0706522095263931</v>
      </c>
      <c r="K29" s="1">
        <v>42410</v>
      </c>
      <c r="L29">
        <v>91.395263999999997</v>
      </c>
      <c r="M29" s="5">
        <f t="shared" si="2"/>
        <v>0.95370182386620883</v>
      </c>
      <c r="P29" s="1">
        <v>42410</v>
      </c>
      <c r="Q29">
        <v>75.529999000000004</v>
      </c>
      <c r="R29" s="5">
        <f t="shared" si="3"/>
        <v>2.2748829322920283</v>
      </c>
      <c r="U29" s="1">
        <v>42410</v>
      </c>
      <c r="V29">
        <v>1.84</v>
      </c>
      <c r="W29" s="5">
        <f t="shared" si="4"/>
        <v>-3.1578947368420964</v>
      </c>
      <c r="Z29" s="1">
        <v>42410</v>
      </c>
      <c r="AA29">
        <v>29.724640000000001</v>
      </c>
      <c r="AB29" s="5">
        <f t="shared" si="5"/>
        <v>4.6511697501963107</v>
      </c>
      <c r="AE29" s="1">
        <v>42410</v>
      </c>
      <c r="AF29">
        <v>182.41351299999999</v>
      </c>
      <c r="AG29" s="5">
        <f t="shared" si="6"/>
        <v>1.6943425194617259</v>
      </c>
      <c r="AJ29" s="1">
        <v>42410</v>
      </c>
      <c r="AK29">
        <v>49.830441</v>
      </c>
      <c r="AL29" s="5">
        <f t="shared" si="7"/>
        <v>-1.4210846860761202</v>
      </c>
      <c r="AO29" s="1">
        <v>42410</v>
      </c>
      <c r="AP29">
        <v>35.871882999999997</v>
      </c>
      <c r="AQ29" s="5">
        <f t="shared" si="8"/>
        <v>0.56756152332876675</v>
      </c>
      <c r="AT29" s="1">
        <v>42410</v>
      </c>
      <c r="AU29">
        <v>146.85067699999999</v>
      </c>
      <c r="AV29" s="5">
        <f t="shared" si="9"/>
        <v>-0.7680678317574916</v>
      </c>
    </row>
    <row r="30" spans="1:48" x14ac:dyDescent="0.2">
      <c r="A30" s="1">
        <v>42411</v>
      </c>
      <c r="B30">
        <v>8.4766910000000006</v>
      </c>
      <c r="C30" s="5">
        <f t="shared" si="0"/>
        <v>-5.5613754784632023</v>
      </c>
      <c r="F30" s="1">
        <v>42411</v>
      </c>
      <c r="G30">
        <v>138.077225</v>
      </c>
      <c r="H30" s="5">
        <f t="shared" si="1"/>
        <v>-0.11546993689751403</v>
      </c>
      <c r="K30" s="1">
        <v>42411</v>
      </c>
      <c r="L30">
        <v>90.638580000000005</v>
      </c>
      <c r="M30" s="5">
        <f t="shared" si="2"/>
        <v>-0.82792473798203903</v>
      </c>
      <c r="P30" s="1">
        <v>42411</v>
      </c>
      <c r="Q30">
        <v>74.940002000000007</v>
      </c>
      <c r="R30" s="5">
        <f t="shared" si="3"/>
        <v>-0.78114260268955749</v>
      </c>
      <c r="U30" s="1">
        <v>42411</v>
      </c>
      <c r="V30">
        <v>1.86</v>
      </c>
      <c r="W30" s="5">
        <f t="shared" si="4"/>
        <v>1.0869565217391313</v>
      </c>
      <c r="Z30" s="1">
        <v>42411</v>
      </c>
      <c r="AA30">
        <v>30.08942</v>
      </c>
      <c r="AB30" s="5">
        <f t="shared" si="5"/>
        <v>1.2271973689168301</v>
      </c>
      <c r="AE30" s="1">
        <v>42411</v>
      </c>
      <c r="AF30">
        <v>174.511551</v>
      </c>
      <c r="AG30" s="5">
        <f t="shared" si="6"/>
        <v>-4.3318950827946603</v>
      </c>
      <c r="AJ30" s="1">
        <v>42411</v>
      </c>
      <c r="AK30">
        <v>49.320034</v>
      </c>
      <c r="AL30" s="5">
        <f t="shared" si="7"/>
        <v>-1.0242875434315357</v>
      </c>
      <c r="AO30" s="1">
        <v>42411</v>
      </c>
      <c r="AP30">
        <v>35.033172999999998</v>
      </c>
      <c r="AQ30" s="5">
        <f t="shared" si="8"/>
        <v>-2.3380707391357154</v>
      </c>
      <c r="AT30" s="1">
        <v>42411</v>
      </c>
      <c r="AU30">
        <v>145.13601700000001</v>
      </c>
      <c r="AV30" s="5">
        <f t="shared" si="9"/>
        <v>-1.1676214471929065</v>
      </c>
    </row>
    <row r="31" spans="1:48" x14ac:dyDescent="0.2">
      <c r="A31" s="1">
        <v>42412</v>
      </c>
      <c r="B31">
        <v>8.636806</v>
      </c>
      <c r="C31" s="5">
        <f t="shared" si="0"/>
        <v>1.8888856512523498</v>
      </c>
      <c r="F31" s="1">
        <v>42412</v>
      </c>
      <c r="G31">
        <v>140.43154899999999</v>
      </c>
      <c r="H31" s="5">
        <f t="shared" si="1"/>
        <v>1.7050777200946725</v>
      </c>
      <c r="K31" s="1">
        <v>42412</v>
      </c>
      <c r="L31">
        <v>91.870636000000005</v>
      </c>
      <c r="M31" s="5">
        <f t="shared" si="2"/>
        <v>1.3593063792482185</v>
      </c>
      <c r="P31" s="1">
        <v>42412</v>
      </c>
      <c r="Q31">
        <v>76.669998000000007</v>
      </c>
      <c r="R31" s="5">
        <f t="shared" si="3"/>
        <v>2.3085080782357061</v>
      </c>
      <c r="U31" s="1">
        <v>42412</v>
      </c>
      <c r="V31">
        <v>1.83</v>
      </c>
      <c r="W31" s="5">
        <f t="shared" si="4"/>
        <v>-1.6129032258064528</v>
      </c>
      <c r="Z31" s="1">
        <v>42412</v>
      </c>
      <c r="AA31">
        <v>27.723279999999999</v>
      </c>
      <c r="AB31" s="5">
        <f t="shared" si="5"/>
        <v>-7.8636942819103908</v>
      </c>
      <c r="AE31" s="1">
        <v>42412</v>
      </c>
      <c r="AF31">
        <v>179.045456</v>
      </c>
      <c r="AG31" s="5">
        <f t="shared" si="6"/>
        <v>2.5980543832310588</v>
      </c>
      <c r="AJ31" s="1">
        <v>42412</v>
      </c>
      <c r="AK31">
        <v>49.698109000000002</v>
      </c>
      <c r="AL31" s="5">
        <f t="shared" si="7"/>
        <v>0.76657489733280115</v>
      </c>
      <c r="AO31" s="1">
        <v>42412</v>
      </c>
      <c r="AP31">
        <v>35.794761999999999</v>
      </c>
      <c r="AQ31" s="5">
        <f t="shared" si="8"/>
        <v>2.173908141292257</v>
      </c>
      <c r="AT31" s="1">
        <v>42412</v>
      </c>
      <c r="AU31">
        <v>148.305206</v>
      </c>
      <c r="AV31" s="5">
        <f t="shared" si="9"/>
        <v>2.1835992646814804</v>
      </c>
    </row>
    <row r="32" spans="1:48" x14ac:dyDescent="0.2">
      <c r="A32" s="1">
        <v>42416</v>
      </c>
      <c r="B32">
        <v>8.8345959999999994</v>
      </c>
      <c r="C32" s="5">
        <f t="shared" si="0"/>
        <v>2.2900826995535093</v>
      </c>
      <c r="F32" s="1">
        <v>42416</v>
      </c>
      <c r="G32">
        <v>145.64897199999999</v>
      </c>
      <c r="H32" s="5">
        <f t="shared" si="1"/>
        <v>3.7152783951703023</v>
      </c>
      <c r="K32" s="1">
        <v>42416</v>
      </c>
      <c r="L32">
        <v>94.014602999999994</v>
      </c>
      <c r="M32" s="5">
        <f t="shared" si="2"/>
        <v>2.333680372039646</v>
      </c>
      <c r="P32" s="1">
        <v>42416</v>
      </c>
      <c r="Q32">
        <v>78.879997000000003</v>
      </c>
      <c r="R32" s="5">
        <f t="shared" si="3"/>
        <v>2.8824821411890427</v>
      </c>
      <c r="U32" s="1">
        <v>42416</v>
      </c>
      <c r="V32">
        <v>1.83</v>
      </c>
      <c r="W32" s="5">
        <f t="shared" si="4"/>
        <v>0</v>
      </c>
      <c r="Z32" s="1">
        <v>42416</v>
      </c>
      <c r="AA32">
        <v>29.004940000000001</v>
      </c>
      <c r="AB32" s="5">
        <f t="shared" si="5"/>
        <v>4.6230460464995566</v>
      </c>
      <c r="AE32" s="1">
        <v>42416</v>
      </c>
      <c r="AF32">
        <v>185.233521</v>
      </c>
      <c r="AG32" s="5">
        <f t="shared" si="6"/>
        <v>3.4561418861141022</v>
      </c>
      <c r="AJ32" s="1">
        <v>42416</v>
      </c>
      <c r="AK32">
        <v>50.577137</v>
      </c>
      <c r="AL32" s="5">
        <f t="shared" si="7"/>
        <v>1.7687353054016566</v>
      </c>
      <c r="AO32" s="1">
        <v>42416</v>
      </c>
      <c r="AP32">
        <v>36.623843999999998</v>
      </c>
      <c r="AQ32" s="5">
        <f t="shared" si="8"/>
        <v>2.3162103997227295</v>
      </c>
      <c r="AT32" s="1">
        <v>42416</v>
      </c>
      <c r="AU32">
        <v>149.81752</v>
      </c>
      <c r="AV32" s="5">
        <f t="shared" si="9"/>
        <v>1.0197308919823109</v>
      </c>
    </row>
    <row r="33" spans="1:48" x14ac:dyDescent="0.2">
      <c r="A33" s="1">
        <v>42417</v>
      </c>
      <c r="B33">
        <v>9.0606399999999994</v>
      </c>
      <c r="C33" s="5">
        <f t="shared" si="0"/>
        <v>2.5586229409924339</v>
      </c>
      <c r="F33" s="1">
        <v>42417</v>
      </c>
      <c r="G33">
        <v>143.065201</v>
      </c>
      <c r="H33" s="5">
        <f t="shared" si="1"/>
        <v>-1.7739713260729262</v>
      </c>
      <c r="K33" s="1">
        <v>42417</v>
      </c>
      <c r="L33">
        <v>96.051865000000006</v>
      </c>
      <c r="M33" s="5">
        <f t="shared" si="2"/>
        <v>2.166963359936767</v>
      </c>
      <c r="P33" s="1">
        <v>42417</v>
      </c>
      <c r="Q33">
        <v>81.849997999999999</v>
      </c>
      <c r="R33" s="5">
        <f t="shared" si="3"/>
        <v>3.7652143926932404</v>
      </c>
      <c r="U33" s="1">
        <v>42417</v>
      </c>
      <c r="V33">
        <v>1.9</v>
      </c>
      <c r="W33" s="5">
        <f t="shared" si="4"/>
        <v>3.8251366120218488</v>
      </c>
      <c r="Z33" s="1">
        <v>42417</v>
      </c>
      <c r="AA33">
        <v>29.034517000000001</v>
      </c>
      <c r="AB33" s="5">
        <f t="shared" si="5"/>
        <v>0.10197228472115351</v>
      </c>
      <c r="AE33" s="1">
        <v>42417</v>
      </c>
      <c r="AF33">
        <v>194.151917</v>
      </c>
      <c r="AG33" s="5">
        <f t="shared" si="6"/>
        <v>4.8146771447485479</v>
      </c>
      <c r="AJ33" s="1">
        <v>42417</v>
      </c>
      <c r="AK33">
        <v>51.994923</v>
      </c>
      <c r="AL33" s="5">
        <f t="shared" si="7"/>
        <v>2.8032152156022581</v>
      </c>
      <c r="AO33" s="1">
        <v>42417</v>
      </c>
      <c r="AP33">
        <v>37.067295000000001</v>
      </c>
      <c r="AQ33" s="5">
        <f t="shared" si="8"/>
        <v>1.2108259307788751</v>
      </c>
      <c r="AT33" s="1">
        <v>42417</v>
      </c>
      <c r="AU33">
        <v>150.86750799999999</v>
      </c>
      <c r="AV33" s="5">
        <f t="shared" si="9"/>
        <v>0.70084460081837208</v>
      </c>
    </row>
    <row r="34" spans="1:48" x14ac:dyDescent="0.2">
      <c r="A34" s="1">
        <v>42418</v>
      </c>
      <c r="B34">
        <v>9.1359890000000004</v>
      </c>
      <c r="C34" s="5">
        <f t="shared" si="0"/>
        <v>0.831607921736224</v>
      </c>
      <c r="F34" s="1">
        <v>42418</v>
      </c>
      <c r="G34">
        <v>142.97541799999999</v>
      </c>
      <c r="H34" s="5">
        <f t="shared" si="1"/>
        <v>-6.2756700701808873E-2</v>
      </c>
      <c r="K34" s="1">
        <v>42418</v>
      </c>
      <c r="L34">
        <v>95.576492000000002</v>
      </c>
      <c r="M34" s="5">
        <f t="shared" si="2"/>
        <v>-0.49491282652346696</v>
      </c>
      <c r="P34" s="1">
        <v>42418</v>
      </c>
      <c r="Q34">
        <v>80.529999000000004</v>
      </c>
      <c r="R34" s="5">
        <f t="shared" si="3"/>
        <v>-1.612704987482096</v>
      </c>
      <c r="U34" s="1">
        <v>42418</v>
      </c>
      <c r="V34">
        <v>1.91</v>
      </c>
      <c r="W34" s="5">
        <f t="shared" si="4"/>
        <v>0.52631578947368474</v>
      </c>
      <c r="Z34" s="1">
        <v>42418</v>
      </c>
      <c r="AA34">
        <v>28.472556999999998</v>
      </c>
      <c r="AB34" s="5">
        <f t="shared" si="5"/>
        <v>-1.9354894038705817</v>
      </c>
      <c r="AE34" s="1">
        <v>42418</v>
      </c>
      <c r="AF34">
        <v>193.60385099999999</v>
      </c>
      <c r="AG34" s="5">
        <f t="shared" si="6"/>
        <v>-0.28228719472288583</v>
      </c>
      <c r="AJ34" s="1">
        <v>42418</v>
      </c>
      <c r="AK34">
        <v>51.560135000000002</v>
      </c>
      <c r="AL34" s="5">
        <f t="shared" si="7"/>
        <v>-0.83621241250803946</v>
      </c>
      <c r="AO34" s="1">
        <v>42418</v>
      </c>
      <c r="AP34">
        <v>36.932335000000002</v>
      </c>
      <c r="AQ34" s="5">
        <f t="shared" si="8"/>
        <v>-0.36409454749800202</v>
      </c>
      <c r="AT34" s="1">
        <v>42418</v>
      </c>
      <c r="AU34">
        <v>151.02162200000001</v>
      </c>
      <c r="AV34" s="5">
        <f t="shared" si="9"/>
        <v>0.10215188282954948</v>
      </c>
    </row>
    <row r="35" spans="1:48" x14ac:dyDescent="0.2">
      <c r="A35" s="1">
        <v>42419</v>
      </c>
      <c r="B35">
        <v>8.8628520000000002</v>
      </c>
      <c r="C35" s="5">
        <f t="shared" si="0"/>
        <v>-2.9896817958077682</v>
      </c>
      <c r="F35" s="1">
        <v>42419</v>
      </c>
      <c r="G35">
        <v>143.28466800000001</v>
      </c>
      <c r="H35" s="5">
        <f t="shared" si="1"/>
        <v>0.21629592298168349</v>
      </c>
      <c r="K35" s="1">
        <v>42419</v>
      </c>
      <c r="L35">
        <v>95.993651999999997</v>
      </c>
      <c r="M35" s="5">
        <f t="shared" si="2"/>
        <v>0.43646715972793343</v>
      </c>
      <c r="P35" s="1">
        <v>42419</v>
      </c>
      <c r="Q35">
        <v>80.870002999999997</v>
      </c>
      <c r="R35" s="5">
        <f t="shared" si="3"/>
        <v>0.4222078780852751</v>
      </c>
      <c r="U35" s="1">
        <v>42419</v>
      </c>
      <c r="V35">
        <v>1.91</v>
      </c>
      <c r="W35" s="5">
        <f t="shared" si="4"/>
        <v>0</v>
      </c>
      <c r="Z35" s="1">
        <v>42419</v>
      </c>
      <c r="AA35">
        <v>29.764075999999999</v>
      </c>
      <c r="AB35" s="5">
        <f t="shared" si="5"/>
        <v>4.5360133970405299</v>
      </c>
      <c r="AE35" s="1">
        <v>42419</v>
      </c>
      <c r="AF35">
        <v>190.38528400000001</v>
      </c>
      <c r="AG35" s="5">
        <f t="shared" si="6"/>
        <v>-1.6624498858754513</v>
      </c>
      <c r="AJ35" s="1">
        <v>42419</v>
      </c>
      <c r="AK35">
        <v>51.314388000000001</v>
      </c>
      <c r="AL35" s="5">
        <f t="shared" si="7"/>
        <v>-0.47662210349139211</v>
      </c>
      <c r="AO35" s="1">
        <v>42419</v>
      </c>
      <c r="AP35">
        <v>37.144416999999997</v>
      </c>
      <c r="AQ35" s="5">
        <f t="shared" si="8"/>
        <v>0.57424476410710346</v>
      </c>
      <c r="AT35" s="1">
        <v>42419</v>
      </c>
      <c r="AU35">
        <v>150.70373499999999</v>
      </c>
      <c r="AV35" s="5">
        <f t="shared" si="9"/>
        <v>-0.21049105140720387</v>
      </c>
    </row>
    <row r="36" spans="1:48" x14ac:dyDescent="0.2">
      <c r="A36" s="1">
        <v>42422</v>
      </c>
      <c r="B36">
        <v>9.2207570000000008</v>
      </c>
      <c r="C36" s="5">
        <f t="shared" si="0"/>
        <v>4.0382599190418675</v>
      </c>
      <c r="F36" s="1">
        <v>42422</v>
      </c>
      <c r="G36">
        <v>147.51448099999999</v>
      </c>
      <c r="H36" s="5">
        <f t="shared" si="1"/>
        <v>2.9520346168509657</v>
      </c>
      <c r="K36" s="1">
        <v>42422</v>
      </c>
      <c r="L36">
        <v>97.351821999999999</v>
      </c>
      <c r="M36" s="5">
        <f t="shared" si="2"/>
        <v>1.4148539738856911</v>
      </c>
      <c r="P36" s="1">
        <v>42422</v>
      </c>
      <c r="Q36">
        <v>83.800003000000004</v>
      </c>
      <c r="R36" s="5">
        <f t="shared" si="3"/>
        <v>3.623098666139541</v>
      </c>
      <c r="U36" s="1">
        <v>42422</v>
      </c>
      <c r="V36">
        <v>2.0099999999999998</v>
      </c>
      <c r="W36" s="5">
        <f t="shared" si="4"/>
        <v>5.2356020942408303</v>
      </c>
      <c r="Z36" s="1">
        <v>42422</v>
      </c>
      <c r="AA36">
        <v>31.075312</v>
      </c>
      <c r="AB36" s="5">
        <f t="shared" si="5"/>
        <v>4.4054315679075708</v>
      </c>
      <c r="AE36" s="1">
        <v>42422</v>
      </c>
      <c r="AF36">
        <v>196.82247899999999</v>
      </c>
      <c r="AG36" s="5">
        <f t="shared" si="6"/>
        <v>3.3811410549987544</v>
      </c>
      <c r="AJ36" s="1">
        <v>42422</v>
      </c>
      <c r="AK36">
        <v>52.250121999999998</v>
      </c>
      <c r="AL36" s="5">
        <f t="shared" si="7"/>
        <v>1.8235314430720611</v>
      </c>
      <c r="AO36" s="1">
        <v>42422</v>
      </c>
      <c r="AP36">
        <v>37.751761999999999</v>
      </c>
      <c r="AQ36" s="5">
        <f t="shared" si="8"/>
        <v>1.6350909478536231</v>
      </c>
      <c r="AT36" s="1">
        <v>42422</v>
      </c>
      <c r="AU36">
        <v>151.907837</v>
      </c>
      <c r="AV36" s="5">
        <f t="shared" si="9"/>
        <v>0.79898616978537795</v>
      </c>
    </row>
    <row r="37" spans="1:48" x14ac:dyDescent="0.2">
      <c r="A37" s="1">
        <v>42423</v>
      </c>
      <c r="B37">
        <v>9.0229660000000003</v>
      </c>
      <c r="C37" s="5">
        <f t="shared" si="0"/>
        <v>-2.1450624932421545</v>
      </c>
      <c r="F37" s="1">
        <v>42423</v>
      </c>
      <c r="G37">
        <v>147.19523599999999</v>
      </c>
      <c r="H37" s="5">
        <f t="shared" si="1"/>
        <v>-0.21641604121563845</v>
      </c>
      <c r="K37" s="1">
        <v>42423</v>
      </c>
      <c r="L37">
        <v>96.672736999999998</v>
      </c>
      <c r="M37" s="5">
        <f t="shared" si="2"/>
        <v>-0.69755756600015217</v>
      </c>
      <c r="P37" s="1">
        <v>42423</v>
      </c>
      <c r="Q37">
        <v>83.07</v>
      </c>
      <c r="R37" s="5">
        <f t="shared" si="3"/>
        <v>-0.87112526714349958</v>
      </c>
      <c r="U37" s="1">
        <v>42423</v>
      </c>
      <c r="V37">
        <v>1.97</v>
      </c>
      <c r="W37" s="5">
        <f t="shared" si="4"/>
        <v>-1.990049751243772</v>
      </c>
      <c r="Z37" s="1">
        <v>42423</v>
      </c>
      <c r="AA37">
        <v>30.296457</v>
      </c>
      <c r="AB37" s="5">
        <f t="shared" si="5"/>
        <v>-2.506346517132314</v>
      </c>
      <c r="AE37" s="1">
        <v>42423</v>
      </c>
      <c r="AF37">
        <v>196.523529</v>
      </c>
      <c r="AG37" s="5">
        <f t="shared" si="6"/>
        <v>-0.1518881387526832</v>
      </c>
      <c r="AJ37" s="1">
        <v>42423</v>
      </c>
      <c r="AK37">
        <v>52.051636000000002</v>
      </c>
      <c r="AL37" s="5">
        <f t="shared" si="7"/>
        <v>-0.37987662497705843</v>
      </c>
      <c r="AO37" s="1">
        <v>42423</v>
      </c>
      <c r="AP37">
        <v>37.009453000000001</v>
      </c>
      <c r="AQ37" s="5">
        <f t="shared" si="8"/>
        <v>-1.966289679406219</v>
      </c>
      <c r="AT37" s="1">
        <v>42423</v>
      </c>
      <c r="AU37">
        <v>150.43400600000001</v>
      </c>
      <c r="AV37" s="5">
        <f t="shared" si="9"/>
        <v>-0.97021393307047743</v>
      </c>
    </row>
    <row r="38" spans="1:48" x14ac:dyDescent="0.2">
      <c r="A38" s="1">
        <v>42424</v>
      </c>
      <c r="B38">
        <v>9.4468010000000007</v>
      </c>
      <c r="C38" s="5">
        <f t="shared" si="0"/>
        <v>4.6972913341355866</v>
      </c>
      <c r="F38" s="1">
        <v>42424</v>
      </c>
      <c r="G38">
        <v>150.058334</v>
      </c>
      <c r="H38" s="5">
        <f t="shared" si="1"/>
        <v>1.9451023537202035</v>
      </c>
      <c r="K38" s="1">
        <v>42424</v>
      </c>
      <c r="L38">
        <v>96.575728999999995</v>
      </c>
      <c r="M38" s="5">
        <f t="shared" si="2"/>
        <v>-0.10034680201513528</v>
      </c>
      <c r="P38" s="1">
        <v>42424</v>
      </c>
      <c r="Q38">
        <v>83.419998000000007</v>
      </c>
      <c r="R38" s="5">
        <f t="shared" si="3"/>
        <v>0.42132899963887516</v>
      </c>
      <c r="U38" s="1">
        <v>42424</v>
      </c>
      <c r="V38">
        <v>2.02</v>
      </c>
      <c r="W38" s="5">
        <f t="shared" si="4"/>
        <v>2.53807106598985</v>
      </c>
      <c r="Z38" s="1">
        <v>42424</v>
      </c>
      <c r="AA38">
        <v>31.262630000000001</v>
      </c>
      <c r="AB38" s="5">
        <f t="shared" si="5"/>
        <v>3.1890626682849454</v>
      </c>
      <c r="AE38" s="1">
        <v>42424</v>
      </c>
      <c r="AF38">
        <v>196.05519100000001</v>
      </c>
      <c r="AG38" s="5">
        <f t="shared" si="6"/>
        <v>-0.23831141359159524</v>
      </c>
      <c r="AJ38" s="1">
        <v>42424</v>
      </c>
      <c r="AK38">
        <v>51.881495999999999</v>
      </c>
      <c r="AL38" s="5">
        <f t="shared" si="7"/>
        <v>-0.32686772803837233</v>
      </c>
      <c r="AO38" s="1">
        <v>42424</v>
      </c>
      <c r="AP38">
        <v>37.790329</v>
      </c>
      <c r="AQ38" s="5">
        <f t="shared" si="8"/>
        <v>2.1099366153831003</v>
      </c>
      <c r="AT38" s="1">
        <v>42424</v>
      </c>
      <c r="AU38">
        <v>151.44548</v>
      </c>
      <c r="AV38" s="5">
        <f t="shared" si="9"/>
        <v>0.67237058089112689</v>
      </c>
    </row>
    <row r="39" spans="1:48" x14ac:dyDescent="0.2">
      <c r="A39" s="1">
        <v>42425</v>
      </c>
      <c r="B39">
        <v>9.3902909999999995</v>
      </c>
      <c r="C39" s="5">
        <f t="shared" si="0"/>
        <v>-0.59819191703097341</v>
      </c>
      <c r="F39" s="1">
        <v>42425</v>
      </c>
      <c r="G39">
        <v>149.71916200000001</v>
      </c>
      <c r="H39" s="5">
        <f t="shared" si="1"/>
        <v>-0.22602676636406657</v>
      </c>
      <c r="K39" s="1">
        <v>42425</v>
      </c>
      <c r="L39">
        <v>97.895095999999995</v>
      </c>
      <c r="M39" s="5">
        <f t="shared" si="2"/>
        <v>1.3661475959451466</v>
      </c>
      <c r="P39" s="1">
        <v>42425</v>
      </c>
      <c r="Q39">
        <v>86.68</v>
      </c>
      <c r="R39" s="5">
        <f t="shared" si="3"/>
        <v>3.9079382380229735</v>
      </c>
      <c r="U39" s="1">
        <v>42425</v>
      </c>
      <c r="V39">
        <v>2.0299999999999998</v>
      </c>
      <c r="W39" s="5">
        <f t="shared" si="4"/>
        <v>0.4950495049504845</v>
      </c>
      <c r="Z39" s="1">
        <v>42425</v>
      </c>
      <c r="AA39">
        <v>31.864025000000002</v>
      </c>
      <c r="AB39" s="5">
        <f t="shared" si="5"/>
        <v>1.9236865228549234</v>
      </c>
      <c r="AE39" s="1">
        <v>42425</v>
      </c>
      <c r="AF39">
        <v>203.74790999999999</v>
      </c>
      <c r="AG39" s="5">
        <f t="shared" si="6"/>
        <v>3.9237517562082722</v>
      </c>
      <c r="AJ39" s="1">
        <v>42425</v>
      </c>
      <c r="AK39">
        <v>53.119700999999999</v>
      </c>
      <c r="AL39" s="5">
        <f t="shared" si="7"/>
        <v>2.386602344697232</v>
      </c>
      <c r="AO39" s="1">
        <v>42425</v>
      </c>
      <c r="AP39">
        <v>38.204867999999998</v>
      </c>
      <c r="AQ39" s="5">
        <f t="shared" si="8"/>
        <v>1.0969446706854491</v>
      </c>
      <c r="AT39" s="1">
        <v>42425</v>
      </c>
      <c r="AU39">
        <v>153.15043600000001</v>
      </c>
      <c r="AV39" s="5">
        <f t="shared" si="9"/>
        <v>1.12578863363899</v>
      </c>
    </row>
    <row r="40" spans="1:48" x14ac:dyDescent="0.2">
      <c r="A40" s="1">
        <v>42426</v>
      </c>
      <c r="B40">
        <v>9.2961039999999997</v>
      </c>
      <c r="C40" s="5">
        <f t="shared" si="0"/>
        <v>-1.0030253588520293</v>
      </c>
      <c r="F40" s="1">
        <v>42426</v>
      </c>
      <c r="G40">
        <v>149.68924000000001</v>
      </c>
      <c r="H40" s="5">
        <f t="shared" si="1"/>
        <v>-1.9985417765028043E-2</v>
      </c>
      <c r="K40" s="1">
        <v>42426</v>
      </c>
      <c r="L40">
        <v>98.098823999999993</v>
      </c>
      <c r="M40" s="5">
        <f t="shared" si="2"/>
        <v>0.20810848379984032</v>
      </c>
      <c r="P40" s="1">
        <v>42426</v>
      </c>
      <c r="Q40">
        <v>86.599997999999999</v>
      </c>
      <c r="R40" s="5">
        <f t="shared" si="3"/>
        <v>-9.2295800646063048E-2</v>
      </c>
      <c r="U40" s="1">
        <v>42426</v>
      </c>
      <c r="V40">
        <v>2.0699999999999998</v>
      </c>
      <c r="W40" s="5">
        <f t="shared" si="4"/>
        <v>1.9704433497536966</v>
      </c>
      <c r="Z40" s="1">
        <v>42426</v>
      </c>
      <c r="AA40">
        <v>31.440092</v>
      </c>
      <c r="AB40" s="5">
        <f t="shared" si="5"/>
        <v>-1.3304439724736647</v>
      </c>
      <c r="AE40" s="1">
        <v>42426</v>
      </c>
      <c r="AF40">
        <v>208.00285299999999</v>
      </c>
      <c r="AG40" s="5">
        <f t="shared" si="6"/>
        <v>2.0883370042912328</v>
      </c>
      <c r="AJ40" s="1">
        <v>42426</v>
      </c>
      <c r="AK40">
        <v>52.930667999999997</v>
      </c>
      <c r="AL40" s="5">
        <f t="shared" si="7"/>
        <v>-0.35586231933045331</v>
      </c>
      <c r="AO40" s="1">
        <v>42426</v>
      </c>
      <c r="AP40">
        <v>38.098824</v>
      </c>
      <c r="AQ40" s="5">
        <f t="shared" si="8"/>
        <v>-0.27756672264905391</v>
      </c>
      <c r="AT40" s="1">
        <v>42426</v>
      </c>
      <c r="AU40">
        <v>152.456909</v>
      </c>
      <c r="AV40" s="5">
        <f t="shared" si="9"/>
        <v>-0.45284036932158472</v>
      </c>
    </row>
    <row r="41" spans="1:48" x14ac:dyDescent="0.2">
      <c r="A41" s="1">
        <v>42429</v>
      </c>
      <c r="B41">
        <v>9.2301749999999991</v>
      </c>
      <c r="C41" s="5">
        <f t="shared" si="0"/>
        <v>-0.70921108455757997</v>
      </c>
      <c r="F41" s="1">
        <v>42429</v>
      </c>
      <c r="G41">
        <v>148.083099</v>
      </c>
      <c r="H41" s="5">
        <f t="shared" si="1"/>
        <v>-1.0729836025622201</v>
      </c>
      <c r="K41" s="1">
        <v>42429</v>
      </c>
      <c r="L41">
        <v>97.264519000000007</v>
      </c>
      <c r="M41" s="5">
        <f t="shared" si="2"/>
        <v>-0.85047400772101656</v>
      </c>
      <c r="P41" s="1">
        <v>42429</v>
      </c>
      <c r="Q41">
        <v>85.150002000000001</v>
      </c>
      <c r="R41" s="5">
        <f t="shared" si="3"/>
        <v>-1.6743603158050866</v>
      </c>
      <c r="U41" s="1">
        <v>42429</v>
      </c>
      <c r="V41">
        <v>2.14</v>
      </c>
      <c r="W41" s="5">
        <f t="shared" si="4"/>
        <v>3.3816425120773088</v>
      </c>
      <c r="Z41" s="1">
        <v>42429</v>
      </c>
      <c r="AA41">
        <v>31.223196000000002</v>
      </c>
      <c r="AB41" s="5">
        <f t="shared" si="5"/>
        <v>-0.68987075483111959</v>
      </c>
      <c r="AE41" s="1">
        <v>42429</v>
      </c>
      <c r="AF41">
        <v>208.690414</v>
      </c>
      <c r="AG41" s="5">
        <f t="shared" si="6"/>
        <v>0.33055363908879487</v>
      </c>
      <c r="AJ41" s="1">
        <v>42429</v>
      </c>
      <c r="AK41">
        <v>51.616852000000002</v>
      </c>
      <c r="AL41" s="5">
        <f t="shared" si="7"/>
        <v>-2.4821451337058429</v>
      </c>
      <c r="AO41" s="1">
        <v>42429</v>
      </c>
      <c r="AP41">
        <v>37.346870000000003</v>
      </c>
      <c r="AQ41" s="5">
        <f t="shared" si="8"/>
        <v>-1.9736934662340178</v>
      </c>
      <c r="AT41" s="1">
        <v>42429</v>
      </c>
      <c r="AU41">
        <v>151.108307</v>
      </c>
      <c r="AV41" s="5">
        <f t="shared" si="9"/>
        <v>-0.88457913048729053</v>
      </c>
    </row>
    <row r="42" spans="1:48" x14ac:dyDescent="0.2">
      <c r="A42" s="1">
        <v>42430</v>
      </c>
      <c r="B42">
        <v>9.531568</v>
      </c>
      <c r="C42" s="5">
        <f t="shared" si="0"/>
        <v>3.2653010370876063</v>
      </c>
      <c r="F42" s="1">
        <v>42430</v>
      </c>
      <c r="G42">
        <v>152.98129299999999</v>
      </c>
      <c r="H42" s="5">
        <f t="shared" si="1"/>
        <v>3.3077333153326229</v>
      </c>
      <c r="K42" s="1">
        <v>42430</v>
      </c>
      <c r="L42">
        <v>100.359207</v>
      </c>
      <c r="M42" s="5">
        <f t="shared" si="2"/>
        <v>3.1817234401786227</v>
      </c>
      <c r="P42" s="1">
        <v>42430</v>
      </c>
      <c r="Q42">
        <v>88.370002999999997</v>
      </c>
      <c r="R42" s="5">
        <f t="shared" si="3"/>
        <v>3.7815630350777867</v>
      </c>
      <c r="U42" s="1">
        <v>42430</v>
      </c>
      <c r="V42">
        <v>2.1800000000000002</v>
      </c>
      <c r="W42" s="5">
        <f t="shared" si="4"/>
        <v>1.8691588785046744</v>
      </c>
      <c r="Z42" s="1">
        <v>42430</v>
      </c>
      <c r="AA42">
        <v>31.755576999999999</v>
      </c>
      <c r="AB42" s="5">
        <f t="shared" si="5"/>
        <v>1.7050816963132067</v>
      </c>
      <c r="AE42" s="1">
        <v>42430</v>
      </c>
      <c r="AF42">
        <v>216.28349299999999</v>
      </c>
      <c r="AG42" s="5">
        <f t="shared" si="6"/>
        <v>3.6384416775367501</v>
      </c>
      <c r="AJ42" s="1">
        <v>42430</v>
      </c>
      <c r="AK42">
        <v>53.252029</v>
      </c>
      <c r="AL42" s="5">
        <f t="shared" si="7"/>
        <v>3.1679130683909178</v>
      </c>
      <c r="AO42" s="1">
        <v>42430</v>
      </c>
      <c r="AP42">
        <v>37.915652999999999</v>
      </c>
      <c r="AQ42" s="5">
        <f t="shared" si="8"/>
        <v>1.5229736789187318</v>
      </c>
      <c r="AT42" s="1">
        <v>42430</v>
      </c>
      <c r="AU42">
        <v>153.728409</v>
      </c>
      <c r="AV42" s="5">
        <f t="shared" si="9"/>
        <v>1.7339232051617142</v>
      </c>
    </row>
    <row r="43" spans="1:48" x14ac:dyDescent="0.2">
      <c r="A43" s="1">
        <v>42431</v>
      </c>
      <c r="B43">
        <v>9.6822660000000003</v>
      </c>
      <c r="C43" s="5">
        <f t="shared" si="0"/>
        <v>1.5810410207428645</v>
      </c>
      <c r="F43" s="1">
        <v>42431</v>
      </c>
      <c r="G43">
        <v>151.80413799999999</v>
      </c>
      <c r="H43" s="5">
        <f t="shared" si="1"/>
        <v>-0.76947643526584597</v>
      </c>
      <c r="K43" s="1">
        <v>42431</v>
      </c>
      <c r="L43">
        <v>99.592811999999995</v>
      </c>
      <c r="M43" s="5">
        <f t="shared" si="2"/>
        <v>-0.76365190888764478</v>
      </c>
      <c r="P43" s="1">
        <v>42431</v>
      </c>
      <c r="Q43">
        <v>88.389999000000003</v>
      </c>
      <c r="R43" s="5">
        <f t="shared" si="3"/>
        <v>2.26275877799915E-2</v>
      </c>
      <c r="U43" s="1">
        <v>42431</v>
      </c>
      <c r="V43">
        <v>2.3199999999999998</v>
      </c>
      <c r="W43" s="5">
        <f t="shared" si="4"/>
        <v>6.4220183486238387</v>
      </c>
      <c r="Z43" s="1">
        <v>42431</v>
      </c>
      <c r="AA43">
        <v>31.558396999999999</v>
      </c>
      <c r="AB43" s="5">
        <f t="shared" si="5"/>
        <v>-0.62093030147113837</v>
      </c>
      <c r="AE43" s="1">
        <v>42431</v>
      </c>
      <c r="AF43">
        <v>219.581818</v>
      </c>
      <c r="AG43" s="5">
        <f t="shared" si="6"/>
        <v>1.5250008006852402</v>
      </c>
      <c r="AJ43" s="1">
        <v>42431</v>
      </c>
      <c r="AK43">
        <v>52.647109999999998</v>
      </c>
      <c r="AL43" s="5">
        <f t="shared" si="7"/>
        <v>-1.1359548384532023</v>
      </c>
      <c r="AO43" s="1">
        <v>42431</v>
      </c>
      <c r="AP43">
        <v>37.925293000000003</v>
      </c>
      <c r="AQ43" s="5">
        <f t="shared" si="8"/>
        <v>2.542485553395199E-2</v>
      </c>
      <c r="AT43" s="1">
        <v>42431</v>
      </c>
      <c r="AU43">
        <v>153.555038</v>
      </c>
      <c r="AV43" s="5">
        <f t="shared" si="9"/>
        <v>-0.11277746327290947</v>
      </c>
    </row>
    <row r="44" spans="1:48" x14ac:dyDescent="0.2">
      <c r="A44" s="1">
        <v>42432</v>
      </c>
      <c r="B44">
        <v>9.8423800000000004</v>
      </c>
      <c r="C44" s="5">
        <f t="shared" si="0"/>
        <v>1.6536831357452901</v>
      </c>
      <c r="F44" s="1">
        <v>42432</v>
      </c>
      <c r="G44">
        <v>153.51004</v>
      </c>
      <c r="H44" s="5">
        <f t="shared" si="1"/>
        <v>1.1237519757201935</v>
      </c>
      <c r="K44" s="1">
        <v>42432</v>
      </c>
      <c r="L44">
        <v>99.728622000000001</v>
      </c>
      <c r="M44" s="5">
        <f t="shared" si="2"/>
        <v>0.13636526298705817</v>
      </c>
      <c r="P44" s="1">
        <v>42432</v>
      </c>
      <c r="Q44">
        <v>87.209998999999996</v>
      </c>
      <c r="R44" s="5">
        <f t="shared" si="3"/>
        <v>-1.334992661330392</v>
      </c>
      <c r="U44" s="1">
        <v>42432</v>
      </c>
      <c r="V44">
        <v>2.46</v>
      </c>
      <c r="W44" s="5">
        <f t="shared" si="4"/>
        <v>6.0344827586206957</v>
      </c>
      <c r="Z44" s="1">
        <v>42432</v>
      </c>
      <c r="AA44">
        <v>31.075312</v>
      </c>
      <c r="AB44" s="5">
        <f t="shared" si="5"/>
        <v>-1.530765330064132</v>
      </c>
      <c r="AE44" s="1">
        <v>42432</v>
      </c>
      <c r="AF44">
        <v>221.34558100000001</v>
      </c>
      <c r="AG44" s="5">
        <f t="shared" si="6"/>
        <v>0.80323726985447019</v>
      </c>
      <c r="AJ44" s="1">
        <v>42432</v>
      </c>
      <c r="AK44">
        <v>52.864502000000002</v>
      </c>
      <c r="AL44" s="5">
        <f t="shared" si="7"/>
        <v>0.41292295056652456</v>
      </c>
      <c r="AO44" s="1">
        <v>42432</v>
      </c>
      <c r="AP44">
        <v>37.423991999999998</v>
      </c>
      <c r="AQ44" s="5">
        <f t="shared" si="8"/>
        <v>-1.321811805119093</v>
      </c>
      <c r="AT44" s="1">
        <v>42432</v>
      </c>
      <c r="AU44">
        <v>153.52612300000001</v>
      </c>
      <c r="AV44" s="5">
        <f t="shared" si="9"/>
        <v>-1.8830381846529576E-2</v>
      </c>
    </row>
    <row r="45" spans="1:48" x14ac:dyDescent="0.2">
      <c r="A45" s="1">
        <v>42433</v>
      </c>
      <c r="B45">
        <v>10.162611999999999</v>
      </c>
      <c r="C45" s="5">
        <f t="shared" si="0"/>
        <v>3.2536032951379537</v>
      </c>
      <c r="F45" s="1">
        <v>42433</v>
      </c>
      <c r="G45">
        <v>152.003647</v>
      </c>
      <c r="H45" s="5">
        <f t="shared" si="1"/>
        <v>-0.98129933390676116</v>
      </c>
      <c r="K45" s="1">
        <v>42433</v>
      </c>
      <c r="L45">
        <v>100.097275</v>
      </c>
      <c r="M45" s="5">
        <f t="shared" si="2"/>
        <v>0.36965616550882929</v>
      </c>
      <c r="P45" s="1">
        <v>42433</v>
      </c>
      <c r="Q45">
        <v>86.18</v>
      </c>
      <c r="R45" s="5">
        <f t="shared" si="3"/>
        <v>-1.1810560850940837</v>
      </c>
      <c r="U45" s="1">
        <v>42433</v>
      </c>
      <c r="V45">
        <v>2.37</v>
      </c>
      <c r="W45" s="5">
        <f t="shared" si="4"/>
        <v>-3.658536585365848</v>
      </c>
      <c r="Z45" s="1">
        <v>42433</v>
      </c>
      <c r="AA45">
        <v>30.749967999999999</v>
      </c>
      <c r="AB45" s="5">
        <f t="shared" si="5"/>
        <v>-1.0469532856178603</v>
      </c>
      <c r="AE45" s="1">
        <v>42433</v>
      </c>
      <c r="AF45">
        <v>219.522018</v>
      </c>
      <c r="AG45" s="5">
        <f t="shared" si="6"/>
        <v>-0.82385335716280095</v>
      </c>
      <c r="AJ45" s="1">
        <v>42433</v>
      </c>
      <c r="AK45">
        <v>53.072445000000002</v>
      </c>
      <c r="AL45" s="5">
        <f t="shared" si="7"/>
        <v>0.39335091059781513</v>
      </c>
      <c r="AO45" s="1">
        <v>42433</v>
      </c>
      <c r="AP45">
        <v>37.771045999999998</v>
      </c>
      <c r="AQ45" s="5">
        <f t="shared" si="8"/>
        <v>0.92735697463808775</v>
      </c>
      <c r="AT45" s="1">
        <v>42433</v>
      </c>
      <c r="AU45">
        <v>154.19078099999999</v>
      </c>
      <c r="AV45" s="5">
        <f t="shared" si="9"/>
        <v>0.43292827761955172</v>
      </c>
    </row>
    <row r="46" spans="1:48" x14ac:dyDescent="0.2">
      <c r="A46" s="1">
        <v>42436</v>
      </c>
      <c r="B46">
        <v>10.256797000000001</v>
      </c>
      <c r="C46" s="5">
        <f t="shared" si="0"/>
        <v>0.92677945394354622</v>
      </c>
      <c r="F46" s="1">
        <v>42436</v>
      </c>
      <c r="G46">
        <v>151.15570099999999</v>
      </c>
      <c r="H46" s="5">
        <f t="shared" si="1"/>
        <v>-0.55784582589653753</v>
      </c>
      <c r="K46" s="1">
        <v>42436</v>
      </c>
      <c r="L46">
        <v>99.340584000000007</v>
      </c>
      <c r="M46" s="5">
        <f t="shared" si="2"/>
        <v>-0.75595564414714522</v>
      </c>
      <c r="P46" s="1">
        <v>42436</v>
      </c>
      <c r="Q46">
        <v>85.110000999999997</v>
      </c>
      <c r="R46" s="5">
        <f t="shared" si="3"/>
        <v>-1.24158621489906</v>
      </c>
      <c r="U46" s="1">
        <v>42436</v>
      </c>
      <c r="V46">
        <v>2.4700000000000002</v>
      </c>
      <c r="W46" s="5">
        <f t="shared" si="4"/>
        <v>4.2194092827004255</v>
      </c>
      <c r="Z46" s="1">
        <v>42436</v>
      </c>
      <c r="AA46">
        <v>30.542930999999999</v>
      </c>
      <c r="AB46" s="5">
        <f t="shared" si="5"/>
        <v>-0.6732917575719094</v>
      </c>
      <c r="AE46" s="1">
        <v>42436</v>
      </c>
      <c r="AF46">
        <v>214.529709</v>
      </c>
      <c r="AG46" s="5">
        <f t="shared" si="6"/>
        <v>-2.2741723338202942</v>
      </c>
      <c r="AJ46" s="1">
        <v>42436</v>
      </c>
      <c r="AK46">
        <v>53.308745999999999</v>
      </c>
      <c r="AL46" s="5">
        <f t="shared" si="7"/>
        <v>0.44524234751196673</v>
      </c>
      <c r="AO46" s="1">
        <v>42436</v>
      </c>
      <c r="AP46">
        <v>37.771045999999998</v>
      </c>
      <c r="AQ46" s="5">
        <f t="shared" si="8"/>
        <v>0</v>
      </c>
      <c r="AT46" s="1">
        <v>42436</v>
      </c>
      <c r="AU46">
        <v>154.67242400000001</v>
      </c>
      <c r="AV46" s="5">
        <f t="shared" si="9"/>
        <v>0.31236822128815833</v>
      </c>
    </row>
    <row r="47" spans="1:48" x14ac:dyDescent="0.2">
      <c r="A47" s="1">
        <v>42437</v>
      </c>
      <c r="B47">
        <v>10.002496000000001</v>
      </c>
      <c r="C47" s="5">
        <f t="shared" si="0"/>
        <v>-2.4793412602394285</v>
      </c>
      <c r="F47" s="1">
        <v>42437</v>
      </c>
      <c r="G47">
        <v>149.32011399999999</v>
      </c>
      <c r="H47" s="5">
        <f t="shared" si="1"/>
        <v>-1.2143683551836422</v>
      </c>
      <c r="K47" s="1">
        <v>42437</v>
      </c>
      <c r="L47">
        <v>99.554001</v>
      </c>
      <c r="M47" s="5">
        <f t="shared" si="2"/>
        <v>0.21483364744462607</v>
      </c>
      <c r="P47" s="1">
        <v>42437</v>
      </c>
      <c r="Q47">
        <v>84.349997999999999</v>
      </c>
      <c r="R47" s="5">
        <f t="shared" si="3"/>
        <v>-0.89296556347120437</v>
      </c>
      <c r="U47" s="1">
        <v>42437</v>
      </c>
      <c r="V47">
        <v>2.2999999999999998</v>
      </c>
      <c r="W47" s="5">
        <f t="shared" si="4"/>
        <v>-6.8825910931174237</v>
      </c>
      <c r="Z47" s="1">
        <v>42437</v>
      </c>
      <c r="AA47">
        <v>30.345752999999998</v>
      </c>
      <c r="AB47" s="5">
        <f t="shared" si="5"/>
        <v>-0.64557654928402575</v>
      </c>
      <c r="AE47" s="1">
        <v>42437</v>
      </c>
      <c r="AF47">
        <v>213.37380999999999</v>
      </c>
      <c r="AG47" s="5">
        <f t="shared" si="6"/>
        <v>-0.5388060261620945</v>
      </c>
      <c r="AJ47" s="1">
        <v>42437</v>
      </c>
      <c r="AK47">
        <v>52.287930000000003</v>
      </c>
      <c r="AL47" s="5">
        <f t="shared" si="7"/>
        <v>-1.9149127987366208</v>
      </c>
      <c r="AO47" s="1">
        <v>42437</v>
      </c>
      <c r="AP47">
        <v>37.761401999999997</v>
      </c>
      <c r="AQ47" s="5">
        <f t="shared" si="8"/>
        <v>-2.5532785086231236E-2</v>
      </c>
      <c r="AT47" s="1">
        <v>42437</v>
      </c>
      <c r="AU47">
        <v>154.31599399999999</v>
      </c>
      <c r="AV47" s="5">
        <f t="shared" si="9"/>
        <v>-0.23044185303517151</v>
      </c>
    </row>
    <row r="48" spans="1:48" x14ac:dyDescent="0.2">
      <c r="A48" s="1">
        <v>42438</v>
      </c>
      <c r="B48">
        <v>9.8894730000000006</v>
      </c>
      <c r="C48" s="5">
        <f t="shared" si="0"/>
        <v>-1.1299479649879398</v>
      </c>
      <c r="F48" s="1">
        <v>42438</v>
      </c>
      <c r="G48">
        <v>153.400284</v>
      </c>
      <c r="H48" s="5">
        <f t="shared" si="1"/>
        <v>2.7324985835464939</v>
      </c>
      <c r="K48" s="1">
        <v>42438</v>
      </c>
      <c r="L48">
        <v>100.310699</v>
      </c>
      <c r="M48" s="5">
        <f t="shared" si="2"/>
        <v>0.76008798481137896</v>
      </c>
      <c r="P48" s="1">
        <v>42438</v>
      </c>
      <c r="Q48">
        <v>85.269997000000004</v>
      </c>
      <c r="R48" s="5">
        <f t="shared" si="3"/>
        <v>1.0906923791509804</v>
      </c>
      <c r="U48" s="1">
        <v>42438</v>
      </c>
      <c r="V48">
        <v>2.2599999999999998</v>
      </c>
      <c r="W48" s="5">
        <f t="shared" si="4"/>
        <v>-1.7391304347826104</v>
      </c>
      <c r="Z48" s="1">
        <v>42438</v>
      </c>
      <c r="AA48">
        <v>30.424624999999999</v>
      </c>
      <c r="AB48" s="5">
        <f t="shared" si="5"/>
        <v>0.25991116450463597</v>
      </c>
      <c r="AE48" s="1">
        <v>42438</v>
      </c>
      <c r="AF48">
        <v>213.51332099999999</v>
      </c>
      <c r="AG48" s="5">
        <f t="shared" si="6"/>
        <v>6.5383375776061195E-2</v>
      </c>
      <c r="AJ48" s="1">
        <v>42438</v>
      </c>
      <c r="AK48">
        <v>53.299286000000002</v>
      </c>
      <c r="AL48" s="5">
        <f t="shared" si="7"/>
        <v>1.9342054657738397</v>
      </c>
      <c r="AO48" s="1">
        <v>42438</v>
      </c>
      <c r="AP48">
        <v>37.867451000000003</v>
      </c>
      <c r="AQ48" s="5">
        <f t="shared" si="8"/>
        <v>0.28083967856915332</v>
      </c>
      <c r="AT48" s="1">
        <v>42438</v>
      </c>
      <c r="AU48">
        <v>154.21006800000001</v>
      </c>
      <c r="AV48" s="5">
        <f t="shared" si="9"/>
        <v>-6.8642269186940164E-2</v>
      </c>
    </row>
    <row r="49" spans="1:48" x14ac:dyDescent="0.2">
      <c r="A49" s="1">
        <v>42439</v>
      </c>
      <c r="B49">
        <v>10.181448</v>
      </c>
      <c r="C49" s="5">
        <f t="shared" si="0"/>
        <v>2.952381790212673</v>
      </c>
      <c r="F49" s="1">
        <v>42439</v>
      </c>
      <c r="G49">
        <v>155.77458200000001</v>
      </c>
      <c r="H49" s="5">
        <f t="shared" si="1"/>
        <v>1.547779403068126</v>
      </c>
      <c r="K49" s="1">
        <v>42439</v>
      </c>
      <c r="L49">
        <v>100.485321</v>
      </c>
      <c r="M49" s="5">
        <f t="shared" si="2"/>
        <v>0.17408113166472841</v>
      </c>
      <c r="P49" s="1">
        <v>42439</v>
      </c>
      <c r="Q49">
        <v>84.849997999999999</v>
      </c>
      <c r="R49" s="5">
        <f t="shared" si="3"/>
        <v>-0.49255191131296072</v>
      </c>
      <c r="U49" s="1">
        <v>42439</v>
      </c>
      <c r="V49">
        <v>2.2599999999999998</v>
      </c>
      <c r="W49" s="5">
        <f t="shared" si="4"/>
        <v>0</v>
      </c>
      <c r="Z49" s="1">
        <v>42439</v>
      </c>
      <c r="AA49">
        <v>30.809121999999999</v>
      </c>
      <c r="AB49" s="5">
        <f t="shared" si="5"/>
        <v>1.2637690686409435</v>
      </c>
      <c r="AE49" s="1">
        <v>42439</v>
      </c>
      <c r="AF49">
        <v>211.77946499999999</v>
      </c>
      <c r="AG49" s="5">
        <f t="shared" si="6"/>
        <v>-0.81205987143069314</v>
      </c>
      <c r="AJ49" s="1">
        <v>42439</v>
      </c>
      <c r="AK49">
        <v>53.148060000000001</v>
      </c>
      <c r="AL49" s="5">
        <f t="shared" si="7"/>
        <v>-0.28372987960852081</v>
      </c>
      <c r="AO49" s="1">
        <v>42439</v>
      </c>
      <c r="AP49">
        <v>37.626438</v>
      </c>
      <c r="AQ49" s="5">
        <f t="shared" si="8"/>
        <v>-0.63646480984421772</v>
      </c>
      <c r="AT49" s="1">
        <v>42439</v>
      </c>
      <c r="AU49">
        <v>154.01738</v>
      </c>
      <c r="AV49" s="5">
        <f t="shared" si="9"/>
        <v>-0.12495163415659992</v>
      </c>
    </row>
    <row r="50" spans="1:48" x14ac:dyDescent="0.2">
      <c r="A50" s="1">
        <v>42440</v>
      </c>
      <c r="B50">
        <v>10.275632999999999</v>
      </c>
      <c r="C50" s="5">
        <f t="shared" si="0"/>
        <v>0.92506488271608833</v>
      </c>
      <c r="F50" s="1">
        <v>42440</v>
      </c>
      <c r="G50">
        <v>158.18876599999999</v>
      </c>
      <c r="H50" s="5">
        <f t="shared" si="1"/>
        <v>1.5497932775707768</v>
      </c>
      <c r="K50" s="1">
        <v>42440</v>
      </c>
      <c r="L50">
        <v>102.522575</v>
      </c>
      <c r="M50" s="5">
        <f t="shared" si="2"/>
        <v>2.0274145315214787</v>
      </c>
      <c r="P50" s="1">
        <v>42440</v>
      </c>
      <c r="Q50">
        <v>86</v>
      </c>
      <c r="R50" s="5">
        <f t="shared" si="3"/>
        <v>1.3553353295305919</v>
      </c>
      <c r="U50" s="1">
        <v>42440</v>
      </c>
      <c r="V50">
        <v>2.52</v>
      </c>
      <c r="W50" s="5">
        <f t="shared" si="4"/>
        <v>11.504424778761074</v>
      </c>
      <c r="Z50" s="1">
        <v>42440</v>
      </c>
      <c r="AA50">
        <v>31.075312</v>
      </c>
      <c r="AB50" s="5">
        <f t="shared" si="5"/>
        <v>0.86399735766569952</v>
      </c>
      <c r="AE50" s="1">
        <v>42440</v>
      </c>
      <c r="AF50">
        <v>214.888428</v>
      </c>
      <c r="AG50" s="5">
        <f t="shared" si="6"/>
        <v>1.4680191018520219</v>
      </c>
      <c r="AJ50" s="1">
        <v>42440</v>
      </c>
      <c r="AK50">
        <v>54.565842000000004</v>
      </c>
      <c r="AL50" s="5">
        <f t="shared" si="7"/>
        <v>2.667608187391981</v>
      </c>
      <c r="AO50" s="1">
        <v>42440</v>
      </c>
      <c r="AP50">
        <v>38.918250999999998</v>
      </c>
      <c r="AQ50" s="5">
        <f t="shared" si="8"/>
        <v>3.4332588165799738</v>
      </c>
      <c r="AT50" s="1">
        <v>42440</v>
      </c>
      <c r="AU50">
        <v>155.93431100000001</v>
      </c>
      <c r="AV50" s="5">
        <f t="shared" si="9"/>
        <v>1.2446199253616737</v>
      </c>
    </row>
    <row r="51" spans="1:48" x14ac:dyDescent="0.2">
      <c r="A51" s="1">
        <v>42443</v>
      </c>
      <c r="B51">
        <v>10.322727</v>
      </c>
      <c r="C51" s="5">
        <f t="shared" si="0"/>
        <v>0.45830753200315061</v>
      </c>
      <c r="F51" s="1">
        <v>42443</v>
      </c>
      <c r="G51">
        <v>158.95689400000001</v>
      </c>
      <c r="H51" s="5">
        <f t="shared" si="1"/>
        <v>0.48557683293390042</v>
      </c>
      <c r="K51" s="1">
        <v>42443</v>
      </c>
      <c r="L51">
        <v>103.143456</v>
      </c>
      <c r="M51" s="5">
        <f t="shared" si="2"/>
        <v>0.60560418034759378</v>
      </c>
      <c r="P51" s="1">
        <v>42443</v>
      </c>
      <c r="Q51">
        <v>87.010002</v>
      </c>
      <c r="R51" s="5">
        <f t="shared" si="3"/>
        <v>1.1744209302325581</v>
      </c>
      <c r="U51" s="1">
        <v>42443</v>
      </c>
      <c r="V51">
        <v>2.72</v>
      </c>
      <c r="W51" s="5">
        <f t="shared" si="4"/>
        <v>7.936507936507943</v>
      </c>
      <c r="Z51" s="1">
        <v>42443</v>
      </c>
      <c r="AA51">
        <v>31.952755</v>
      </c>
      <c r="AB51" s="5">
        <f t="shared" si="5"/>
        <v>2.8236015779986361</v>
      </c>
      <c r="AE51" s="1">
        <v>42443</v>
      </c>
      <c r="AF51">
        <v>215.16746499999999</v>
      </c>
      <c r="AG51" s="5">
        <f t="shared" si="6"/>
        <v>0.12985203651821969</v>
      </c>
      <c r="AJ51" s="1">
        <v>42443</v>
      </c>
      <c r="AK51">
        <v>54.074345000000001</v>
      </c>
      <c r="AL51" s="5">
        <f t="shared" si="7"/>
        <v>-0.900741163308728</v>
      </c>
      <c r="AO51" s="1">
        <v>42443</v>
      </c>
      <c r="AP51">
        <v>39.043571</v>
      </c>
      <c r="AQ51" s="5">
        <f t="shared" si="8"/>
        <v>0.32200830402168407</v>
      </c>
      <c r="AT51" s="1">
        <v>42443</v>
      </c>
      <c r="AU51">
        <v>155.86686700000001</v>
      </c>
      <c r="AV51" s="5">
        <f t="shared" si="9"/>
        <v>-4.3251545838423416E-2</v>
      </c>
    </row>
    <row r="52" spans="1:48" x14ac:dyDescent="0.2">
      <c r="A52" s="1">
        <v>42444</v>
      </c>
      <c r="B52">
        <v>10.332146</v>
      </c>
      <c r="C52" s="5">
        <f t="shared" si="0"/>
        <v>9.1245268813167302E-2</v>
      </c>
      <c r="F52" s="1">
        <v>42444</v>
      </c>
      <c r="G52">
        <v>158.19873000000001</v>
      </c>
      <c r="H52" s="5">
        <f t="shared" si="1"/>
        <v>-0.47696201210373024</v>
      </c>
      <c r="K52" s="1">
        <v>42444</v>
      </c>
      <c r="L52">
        <v>103.871048</v>
      </c>
      <c r="M52" s="5">
        <f t="shared" si="2"/>
        <v>0.70541751092769411</v>
      </c>
      <c r="P52" s="1">
        <v>42444</v>
      </c>
      <c r="Q52">
        <v>86.830001999999993</v>
      </c>
      <c r="R52" s="5">
        <f t="shared" si="3"/>
        <v>-0.20687276848931324</v>
      </c>
      <c r="U52" s="1">
        <v>42444</v>
      </c>
      <c r="V52">
        <v>2.4900000000000002</v>
      </c>
      <c r="W52" s="5">
        <f t="shared" si="4"/>
        <v>-8.4558823529411757</v>
      </c>
      <c r="Z52" s="1">
        <v>42444</v>
      </c>
      <c r="AA52">
        <v>32.021766999999997</v>
      </c>
      <c r="AB52" s="5">
        <f t="shared" si="5"/>
        <v>0.21598137625377592</v>
      </c>
      <c r="AE52" s="1">
        <v>42444</v>
      </c>
      <c r="AF52">
        <v>217.31982400000001</v>
      </c>
      <c r="AG52" s="5">
        <f t="shared" si="6"/>
        <v>1.0003180545906503</v>
      </c>
      <c r="AJ52" s="1">
        <v>42444</v>
      </c>
      <c r="AK52">
        <v>52.571491000000002</v>
      </c>
      <c r="AL52" s="5">
        <f t="shared" si="7"/>
        <v>-2.7792366232082868</v>
      </c>
      <c r="AO52" s="1">
        <v>42444</v>
      </c>
      <c r="AP52">
        <v>38.465156999999998</v>
      </c>
      <c r="AQ52" s="5">
        <f t="shared" si="8"/>
        <v>-1.4814577283415038</v>
      </c>
      <c r="AT52" s="1">
        <v>42444</v>
      </c>
      <c r="AU52">
        <v>156.44482400000001</v>
      </c>
      <c r="AV52" s="5">
        <f t="shared" si="9"/>
        <v>0.37080170476512997</v>
      </c>
    </row>
    <row r="53" spans="1:48" x14ac:dyDescent="0.2">
      <c r="A53" s="1">
        <v>42445</v>
      </c>
      <c r="B53">
        <v>10.727722999999999</v>
      </c>
      <c r="C53" s="5">
        <f t="shared" si="0"/>
        <v>3.8286044351289599</v>
      </c>
      <c r="F53" s="1">
        <v>42445</v>
      </c>
      <c r="G53">
        <v>158.63784799999999</v>
      </c>
      <c r="H53" s="5">
        <f t="shared" si="1"/>
        <v>0.27757365688079749</v>
      </c>
      <c r="K53" s="1">
        <v>42445</v>
      </c>
      <c r="L53">
        <v>104.375511</v>
      </c>
      <c r="M53" s="5">
        <f t="shared" si="2"/>
        <v>0.48566276138852593</v>
      </c>
      <c r="P53" s="1">
        <v>42445</v>
      </c>
      <c r="Q53">
        <v>88.169998000000007</v>
      </c>
      <c r="R53" s="5">
        <f t="shared" si="3"/>
        <v>1.5432407798401451</v>
      </c>
      <c r="U53" s="1">
        <v>42445</v>
      </c>
      <c r="V53">
        <v>2.63</v>
      </c>
      <c r="W53" s="5">
        <f t="shared" si="4"/>
        <v>5.6224899598393439</v>
      </c>
      <c r="Z53" s="1">
        <v>42445</v>
      </c>
      <c r="AA53">
        <v>32.327396</v>
      </c>
      <c r="AB53" s="5">
        <f t="shared" si="5"/>
        <v>0.95444139606662959</v>
      </c>
      <c r="AE53" s="1">
        <v>42445</v>
      </c>
      <c r="AF53">
        <v>222.122818</v>
      </c>
      <c r="AG53" s="5">
        <f t="shared" si="6"/>
        <v>2.2101039433935781</v>
      </c>
      <c r="AJ53" s="1">
        <v>42445</v>
      </c>
      <c r="AK53">
        <v>53.223671000000003</v>
      </c>
      <c r="AL53" s="5">
        <f t="shared" si="7"/>
        <v>1.2405583094457056</v>
      </c>
      <c r="AO53" s="1">
        <v>42445</v>
      </c>
      <c r="AP53">
        <v>38.735087999999998</v>
      </c>
      <c r="AQ53" s="5">
        <f t="shared" si="8"/>
        <v>0.70175457752583648</v>
      </c>
      <c r="AT53" s="1">
        <v>42445</v>
      </c>
      <c r="AU53">
        <v>156.90721099999999</v>
      </c>
      <c r="AV53" s="5">
        <f t="shared" si="9"/>
        <v>0.29555915509226327</v>
      </c>
    </row>
    <row r="54" spans="1:48" x14ac:dyDescent="0.2">
      <c r="A54" s="1">
        <v>42446</v>
      </c>
      <c r="B54">
        <v>10.859583000000001</v>
      </c>
      <c r="C54" s="5">
        <f t="shared" si="0"/>
        <v>1.2291517967046821</v>
      </c>
      <c r="F54" s="1">
        <v>42446</v>
      </c>
      <c r="G54">
        <v>157.61990399999999</v>
      </c>
      <c r="H54" s="5">
        <f t="shared" si="1"/>
        <v>-0.64167789265522568</v>
      </c>
      <c r="K54" s="1">
        <v>42446</v>
      </c>
      <c r="L54">
        <v>105.31652099999999</v>
      </c>
      <c r="M54" s="5">
        <f t="shared" si="2"/>
        <v>0.90156205319080196</v>
      </c>
      <c r="P54" s="1">
        <v>42446</v>
      </c>
      <c r="Q54">
        <v>89.959998999999996</v>
      </c>
      <c r="R54" s="5">
        <f t="shared" si="3"/>
        <v>2.0301701719444174</v>
      </c>
      <c r="U54" s="1">
        <v>42446</v>
      </c>
      <c r="V54">
        <v>2.8</v>
      </c>
      <c r="W54" s="5">
        <f t="shared" si="4"/>
        <v>6.4638783269961948</v>
      </c>
      <c r="Z54" s="1">
        <v>42446</v>
      </c>
      <c r="AA54">
        <v>32.140072000000004</v>
      </c>
      <c r="AB54" s="5">
        <f t="shared" si="5"/>
        <v>-0.57945898271545504</v>
      </c>
      <c r="AE54" s="1">
        <v>42446</v>
      </c>
      <c r="AF54">
        <v>223.826752</v>
      </c>
      <c r="AG54" s="5">
        <f t="shared" si="6"/>
        <v>0.76711344441884577</v>
      </c>
      <c r="AJ54" s="1">
        <v>42446</v>
      </c>
      <c r="AK54">
        <v>52.287930000000003</v>
      </c>
      <c r="AL54" s="5">
        <f t="shared" si="7"/>
        <v>-1.758129385701336</v>
      </c>
      <c r="AO54" s="1">
        <v>42446</v>
      </c>
      <c r="AP54">
        <v>38.841132999999999</v>
      </c>
      <c r="AQ54" s="5">
        <f t="shared" si="8"/>
        <v>0.27376986983998003</v>
      </c>
      <c r="AT54" s="1">
        <v>42446</v>
      </c>
      <c r="AU54">
        <v>157.73561100000001</v>
      </c>
      <c r="AV54" s="5">
        <f t="shared" si="9"/>
        <v>0.52795534043366321</v>
      </c>
    </row>
    <row r="55" spans="1:48" x14ac:dyDescent="0.2">
      <c r="A55" s="1">
        <v>42447</v>
      </c>
      <c r="B55">
        <v>10.94435</v>
      </c>
      <c r="C55" s="5">
        <f t="shared" si="0"/>
        <v>0.78057325037249925</v>
      </c>
      <c r="F55" s="1">
        <v>42447</v>
      </c>
      <c r="G55">
        <v>157.150848</v>
      </c>
      <c r="H55" s="5">
        <f t="shared" si="1"/>
        <v>-0.29758678193332411</v>
      </c>
      <c r="K55" s="1">
        <v>42447</v>
      </c>
      <c r="L55">
        <v>104.550133</v>
      </c>
      <c r="M55" s="5">
        <f t="shared" si="2"/>
        <v>-0.72769969300447379</v>
      </c>
      <c r="P55" s="1">
        <v>42447</v>
      </c>
      <c r="Q55">
        <v>93.419998000000007</v>
      </c>
      <c r="R55" s="5">
        <f t="shared" si="3"/>
        <v>3.8461527773027324</v>
      </c>
      <c r="U55" s="1">
        <v>42447</v>
      </c>
      <c r="V55">
        <v>2.93</v>
      </c>
      <c r="W55" s="5">
        <f t="shared" si="4"/>
        <v>4.6428571428571557</v>
      </c>
      <c r="Z55" s="1">
        <v>42447</v>
      </c>
      <c r="AA55">
        <v>31.745719999999999</v>
      </c>
      <c r="AB55" s="5">
        <f t="shared" si="5"/>
        <v>-1.2269792052737307</v>
      </c>
      <c r="AE55" s="1">
        <v>42447</v>
      </c>
      <c r="AF55">
        <v>219.46225000000001</v>
      </c>
      <c r="AG55" s="5">
        <f t="shared" si="6"/>
        <v>-1.9499465372217826</v>
      </c>
      <c r="AJ55" s="1">
        <v>42447</v>
      </c>
      <c r="AK55">
        <v>53.469420999999997</v>
      </c>
      <c r="AL55" s="5">
        <f t="shared" si="7"/>
        <v>2.25958648582951</v>
      </c>
      <c r="AO55" s="1">
        <v>42447</v>
      </c>
      <c r="AP55">
        <v>39.323154000000002</v>
      </c>
      <c r="AQ55" s="5">
        <f t="shared" si="8"/>
        <v>1.2410065380945585</v>
      </c>
      <c r="AT55" s="1">
        <v>42447</v>
      </c>
      <c r="AU55">
        <v>159.25758400000001</v>
      </c>
      <c r="AV55" s="5">
        <f t="shared" si="9"/>
        <v>0.96488864521531714</v>
      </c>
    </row>
    <row r="56" spans="1:48" x14ac:dyDescent="0.2">
      <c r="A56" s="1">
        <v>42450</v>
      </c>
      <c r="B56">
        <v>10.869001000000001</v>
      </c>
      <c r="C56" s="5">
        <f t="shared" si="0"/>
        <v>-0.68847396145042161</v>
      </c>
      <c r="F56" s="1">
        <v>42450</v>
      </c>
      <c r="G56">
        <v>158.288544</v>
      </c>
      <c r="H56" s="5">
        <f t="shared" si="1"/>
        <v>0.7239515500419097</v>
      </c>
      <c r="K56" s="1">
        <v>42450</v>
      </c>
      <c r="L56">
        <v>104.92849</v>
      </c>
      <c r="M56" s="5">
        <f t="shared" si="2"/>
        <v>0.36189050089490948</v>
      </c>
      <c r="P56" s="1">
        <v>42450</v>
      </c>
      <c r="Q56">
        <v>92.5</v>
      </c>
      <c r="R56" s="5">
        <f t="shared" si="3"/>
        <v>-0.98479770894450958</v>
      </c>
      <c r="U56" s="1">
        <v>42450</v>
      </c>
      <c r="V56">
        <v>2.8</v>
      </c>
      <c r="W56" s="5">
        <f t="shared" si="4"/>
        <v>-4.4368600682593966</v>
      </c>
      <c r="Z56" s="1">
        <v>42450</v>
      </c>
      <c r="AA56">
        <v>31.587978</v>
      </c>
      <c r="AB56" s="5">
        <f t="shared" si="5"/>
        <v>-0.49689217948119918</v>
      </c>
      <c r="AE56" s="1">
        <v>42450</v>
      </c>
      <c r="AF56">
        <v>220.259399</v>
      </c>
      <c r="AG56" s="5">
        <f t="shared" si="6"/>
        <v>0.36322830008349516</v>
      </c>
      <c r="AJ56" s="1">
        <v>42450</v>
      </c>
      <c r="AK56">
        <v>52.940112999999997</v>
      </c>
      <c r="AL56" s="5">
        <f t="shared" si="7"/>
        <v>-0.98992656008001345</v>
      </c>
      <c r="AO56" s="1">
        <v>42450</v>
      </c>
      <c r="AP56">
        <v>39.294227999999997</v>
      </c>
      <c r="AQ56" s="5">
        <f t="shared" si="8"/>
        <v>-7.3559714970995352E-2</v>
      </c>
      <c r="AT56" s="1">
        <v>42450</v>
      </c>
      <c r="AU56">
        <v>158.78559899999999</v>
      </c>
      <c r="AV56" s="5">
        <f t="shared" si="9"/>
        <v>-0.29636579191105766</v>
      </c>
    </row>
    <row r="57" spans="1:48" x14ac:dyDescent="0.2">
      <c r="A57" s="1">
        <v>42451</v>
      </c>
      <c r="B57">
        <v>10.869001000000001</v>
      </c>
      <c r="C57" s="5">
        <f t="shared" si="0"/>
        <v>0</v>
      </c>
      <c r="F57" s="1">
        <v>42451</v>
      </c>
      <c r="G57">
        <v>157.86940000000001</v>
      </c>
      <c r="H57" s="5">
        <f t="shared" si="1"/>
        <v>-0.26479743221340679</v>
      </c>
      <c r="K57" s="1">
        <v>42451</v>
      </c>
      <c r="L57">
        <v>104.608345</v>
      </c>
      <c r="M57" s="5">
        <f t="shared" si="2"/>
        <v>-0.3051077929359286</v>
      </c>
      <c r="P57" s="1">
        <v>42451</v>
      </c>
      <c r="Q57">
        <v>92.559997999999993</v>
      </c>
      <c r="R57" s="5">
        <f t="shared" si="3"/>
        <v>6.4862702702695257E-2</v>
      </c>
      <c r="U57" s="1">
        <v>42451</v>
      </c>
      <c r="V57">
        <v>2.79</v>
      </c>
      <c r="W57" s="5">
        <f t="shared" si="4"/>
        <v>-0.35714285714284955</v>
      </c>
      <c r="Z57" s="1">
        <v>42451</v>
      </c>
      <c r="AA57">
        <v>32.080920999999996</v>
      </c>
      <c r="AB57" s="5">
        <f t="shared" si="5"/>
        <v>1.560539899071719</v>
      </c>
      <c r="AE57" s="1">
        <v>42451</v>
      </c>
      <c r="AF57">
        <v>219.970428</v>
      </c>
      <c r="AG57" s="5">
        <f t="shared" si="6"/>
        <v>-0.13119576340985276</v>
      </c>
      <c r="AJ57" s="1">
        <v>42451</v>
      </c>
      <c r="AK57">
        <v>54.34845</v>
      </c>
      <c r="AL57" s="5">
        <f t="shared" si="7"/>
        <v>2.6602455495325503</v>
      </c>
      <c r="AO57" s="1">
        <v>42451</v>
      </c>
      <c r="AP57">
        <v>39.554519999999997</v>
      </c>
      <c r="AQ57" s="5">
        <f t="shared" si="8"/>
        <v>0.66241790015571689</v>
      </c>
      <c r="AT57" s="1">
        <v>42451</v>
      </c>
      <c r="AU57">
        <v>158.853027</v>
      </c>
      <c r="AV57" s="5">
        <f t="shared" si="9"/>
        <v>4.2464808159338625E-2</v>
      </c>
    </row>
    <row r="58" spans="1:48" x14ac:dyDescent="0.2">
      <c r="A58" s="1">
        <v>42452</v>
      </c>
      <c r="B58">
        <v>10.642956999999999</v>
      </c>
      <c r="C58" s="5">
        <f t="shared" si="0"/>
        <v>-2.0797127537296358</v>
      </c>
      <c r="F58" s="1">
        <v>42452</v>
      </c>
      <c r="G58">
        <v>160.763519</v>
      </c>
      <c r="H58" s="5">
        <f t="shared" si="1"/>
        <v>1.8332362066366181</v>
      </c>
      <c r="K58" s="1">
        <v>42452</v>
      </c>
      <c r="L58">
        <v>104.443428</v>
      </c>
      <c r="M58" s="5">
        <f t="shared" si="2"/>
        <v>-0.15765185846311078</v>
      </c>
      <c r="P58" s="1">
        <v>42452</v>
      </c>
      <c r="Q58">
        <v>92.160004000000001</v>
      </c>
      <c r="R58" s="5">
        <f t="shared" si="3"/>
        <v>-0.43214564460123739</v>
      </c>
      <c r="U58" s="1">
        <v>42452</v>
      </c>
      <c r="V58">
        <v>2.68</v>
      </c>
      <c r="W58" s="5">
        <f t="shared" si="4"/>
        <v>-3.9426523297490994</v>
      </c>
      <c r="Z58" s="1">
        <v>42452</v>
      </c>
      <c r="AA58">
        <v>32.120361000000003</v>
      </c>
      <c r="AB58" s="5">
        <f t="shared" si="5"/>
        <v>0.1229391138739631</v>
      </c>
      <c r="AE58" s="1">
        <v>42452</v>
      </c>
      <c r="AF58">
        <v>217.03083799999999</v>
      </c>
      <c r="AG58" s="5">
        <f t="shared" si="6"/>
        <v>-1.3363569033924914</v>
      </c>
      <c r="AJ58" s="1">
        <v>42452</v>
      </c>
      <c r="AK58">
        <v>53.270930999999997</v>
      </c>
      <c r="AL58" s="5">
        <f t="shared" si="7"/>
        <v>-1.982612199611953</v>
      </c>
      <c r="AO58" s="1">
        <v>42452</v>
      </c>
      <c r="AP58">
        <v>39.313507000000001</v>
      </c>
      <c r="AQ58" s="5">
        <f t="shared" si="8"/>
        <v>-0.60931847991075427</v>
      </c>
      <c r="AT58" s="1">
        <v>42452</v>
      </c>
      <c r="AU58">
        <v>158.23654199999999</v>
      </c>
      <c r="AV58" s="5">
        <f t="shared" si="9"/>
        <v>-0.38808514489309137</v>
      </c>
    </row>
    <row r="59" spans="1:48" x14ac:dyDescent="0.2">
      <c r="A59" s="1">
        <v>42453</v>
      </c>
      <c r="B59">
        <v>10.897258000000001</v>
      </c>
      <c r="C59" s="5">
        <f t="shared" si="0"/>
        <v>2.3893829506217275</v>
      </c>
      <c r="F59" s="1">
        <v>42453</v>
      </c>
      <c r="G59">
        <v>161.49205000000001</v>
      </c>
      <c r="H59" s="5">
        <f t="shared" si="1"/>
        <v>0.4531693536765663</v>
      </c>
      <c r="K59" s="1">
        <v>42453</v>
      </c>
      <c r="L59">
        <v>110.88504</v>
      </c>
      <c r="M59" s="5">
        <f t="shared" si="2"/>
        <v>6.1675608732413556</v>
      </c>
      <c r="P59" s="1">
        <v>42453</v>
      </c>
      <c r="Q59">
        <v>92.519997000000004</v>
      </c>
      <c r="R59" s="5">
        <f t="shared" si="3"/>
        <v>0.39061738756001235</v>
      </c>
      <c r="U59" s="1">
        <v>42453</v>
      </c>
      <c r="V59">
        <v>2.79</v>
      </c>
      <c r="W59" s="5">
        <f t="shared" si="4"/>
        <v>4.1044776119402933</v>
      </c>
      <c r="Z59" s="1">
        <v>42453</v>
      </c>
      <c r="AA59">
        <v>31.755576999999999</v>
      </c>
      <c r="AB59" s="5">
        <f t="shared" si="5"/>
        <v>-1.1356783941500648</v>
      </c>
      <c r="AE59" s="1">
        <v>42453</v>
      </c>
      <c r="AF59">
        <v>214.151062</v>
      </c>
      <c r="AG59" s="5">
        <f t="shared" si="6"/>
        <v>-1.3268971481370737</v>
      </c>
      <c r="AJ59" s="1">
        <v>42453</v>
      </c>
      <c r="AK59">
        <v>53.044083000000001</v>
      </c>
      <c r="AL59" s="5">
        <f t="shared" si="7"/>
        <v>-0.42583824938219467</v>
      </c>
      <c r="AO59" s="1">
        <v>42453</v>
      </c>
      <c r="AP59">
        <v>39.284587999999999</v>
      </c>
      <c r="AQ59" s="5">
        <f t="shared" si="8"/>
        <v>-7.3559959939473007E-2</v>
      </c>
      <c r="AT59" s="1">
        <v>42453</v>
      </c>
      <c r="AU59">
        <v>158.41954000000001</v>
      </c>
      <c r="AV59" s="5">
        <f t="shared" si="9"/>
        <v>0.11564838164880159</v>
      </c>
    </row>
    <row r="60" spans="1:48" x14ac:dyDescent="0.2">
      <c r="A60" s="1">
        <v>42457</v>
      </c>
      <c r="B60">
        <v>10.746561</v>
      </c>
      <c r="C60" s="5">
        <f t="shared" si="0"/>
        <v>-1.3828891634941649</v>
      </c>
      <c r="F60" s="1">
        <v>42457</v>
      </c>
      <c r="G60">
        <v>161.43215900000001</v>
      </c>
      <c r="H60" s="5">
        <f t="shared" si="1"/>
        <v>-3.7086036123755474E-2</v>
      </c>
      <c r="K60" s="1">
        <v>42457</v>
      </c>
      <c r="L60">
        <v>110.758926</v>
      </c>
      <c r="M60" s="5">
        <f t="shared" si="2"/>
        <v>-0.11373400776155303</v>
      </c>
      <c r="P60" s="1">
        <v>42457</v>
      </c>
      <c r="Q60">
        <v>92.400002000000001</v>
      </c>
      <c r="R60" s="5">
        <f t="shared" si="3"/>
        <v>-0.1296962860904578</v>
      </c>
      <c r="U60" s="1">
        <v>42457</v>
      </c>
      <c r="V60">
        <v>2.78</v>
      </c>
      <c r="W60" s="5">
        <f t="shared" si="4"/>
        <v>-0.35842293906810863</v>
      </c>
      <c r="Z60" s="1">
        <v>42457</v>
      </c>
      <c r="AA60">
        <v>31.944420000000001</v>
      </c>
      <c r="AB60" s="5">
        <f t="shared" si="5"/>
        <v>0.59467664530234199</v>
      </c>
      <c r="AE60" s="1">
        <v>42457</v>
      </c>
      <c r="AF60">
        <v>214.75891100000001</v>
      </c>
      <c r="AG60" s="5">
        <f t="shared" si="6"/>
        <v>0.28384122605939532</v>
      </c>
      <c r="AJ60" s="1">
        <v>42457</v>
      </c>
      <c r="AK60">
        <v>53.034633999999997</v>
      </c>
      <c r="AL60" s="5">
        <f t="shared" si="7"/>
        <v>-1.7813485436261746E-2</v>
      </c>
      <c r="AO60" s="1">
        <v>42457</v>
      </c>
      <c r="AP60">
        <v>39.409916000000003</v>
      </c>
      <c r="AQ60" s="5">
        <f t="shared" si="8"/>
        <v>0.31902587345450384</v>
      </c>
      <c r="AT60" s="1">
        <v>42457</v>
      </c>
      <c r="AU60">
        <v>160.172684</v>
      </c>
      <c r="AV60" s="5">
        <f t="shared" si="9"/>
        <v>1.1066463139584874</v>
      </c>
    </row>
    <row r="61" spans="1:48" x14ac:dyDescent="0.2">
      <c r="A61" s="1">
        <v>42458</v>
      </c>
      <c r="B61">
        <v>10.972606000000001</v>
      </c>
      <c r="C61" s="5">
        <f t="shared" si="0"/>
        <v>2.1034170838466459</v>
      </c>
      <c r="F61" s="1">
        <v>42458</v>
      </c>
      <c r="G61">
        <v>162.69958500000001</v>
      </c>
      <c r="H61" s="5">
        <f t="shared" si="1"/>
        <v>0.78511370215893617</v>
      </c>
      <c r="K61" s="1">
        <v>42458</v>
      </c>
      <c r="L61">
        <v>111.81636</v>
      </c>
      <c r="M61" s="5">
        <f t="shared" si="2"/>
        <v>0.95471673316875671</v>
      </c>
      <c r="P61" s="1">
        <v>42458</v>
      </c>
      <c r="Q61">
        <v>93.220000999999996</v>
      </c>
      <c r="R61" s="5">
        <f t="shared" si="3"/>
        <v>0.88744478598603904</v>
      </c>
      <c r="U61" s="1">
        <v>42458</v>
      </c>
      <c r="V61">
        <v>2.86</v>
      </c>
      <c r="W61" s="5">
        <f t="shared" si="4"/>
        <v>2.8776978417266217</v>
      </c>
      <c r="Z61" s="1">
        <v>42458</v>
      </c>
      <c r="AA61">
        <v>33.037726999999997</v>
      </c>
      <c r="AB61" s="5">
        <f t="shared" si="5"/>
        <v>3.4225288798481732</v>
      </c>
      <c r="AE61" s="1">
        <v>42458</v>
      </c>
      <c r="AF61">
        <v>217.59883099999999</v>
      </c>
      <c r="AG61" s="5">
        <f t="shared" si="6"/>
        <v>1.3223758617401342</v>
      </c>
      <c r="AJ61" s="1">
        <v>42458</v>
      </c>
      <c r="AK61">
        <v>53.923110999999999</v>
      </c>
      <c r="AL61" s="5">
        <f t="shared" si="7"/>
        <v>1.6752769520385524</v>
      </c>
      <c r="AO61" s="1">
        <v>42458</v>
      </c>
      <c r="AP61">
        <v>39.978698999999999</v>
      </c>
      <c r="AQ61" s="5">
        <f t="shared" si="8"/>
        <v>1.4432484453912466</v>
      </c>
      <c r="AT61" s="1">
        <v>42458</v>
      </c>
      <c r="AU61">
        <v>158.35209699999999</v>
      </c>
      <c r="AV61" s="5">
        <f t="shared" si="9"/>
        <v>-1.1366401277261593</v>
      </c>
    </row>
    <row r="62" spans="1:48" x14ac:dyDescent="0.2">
      <c r="A62" s="1">
        <v>42459</v>
      </c>
      <c r="B62">
        <v>10.94435</v>
      </c>
      <c r="C62" s="5">
        <f t="shared" si="0"/>
        <v>-0.25751403085101865</v>
      </c>
      <c r="F62" s="1">
        <v>42459</v>
      </c>
      <c r="G62">
        <v>163.45803799999999</v>
      </c>
      <c r="H62" s="5">
        <f t="shared" si="1"/>
        <v>0.46616775328589466</v>
      </c>
      <c r="K62" s="1">
        <v>42459</v>
      </c>
      <c r="L62">
        <v>111.923073</v>
      </c>
      <c r="M62" s="5">
        <f t="shared" si="2"/>
        <v>9.5435945151495866E-2</v>
      </c>
      <c r="P62" s="1">
        <v>42459</v>
      </c>
      <c r="Q62">
        <v>93.779999000000004</v>
      </c>
      <c r="R62" s="5">
        <f t="shared" si="3"/>
        <v>0.60072730529149787</v>
      </c>
      <c r="U62" s="1">
        <v>42459</v>
      </c>
      <c r="V62">
        <v>2.86</v>
      </c>
      <c r="W62" s="5">
        <f t="shared" si="4"/>
        <v>0</v>
      </c>
      <c r="Z62" s="1">
        <v>42459</v>
      </c>
      <c r="AA62">
        <v>33.862675000000003</v>
      </c>
      <c r="AB62" s="5">
        <f t="shared" si="5"/>
        <v>2.496987761900225</v>
      </c>
      <c r="AE62" s="1">
        <v>42459</v>
      </c>
      <c r="AF62">
        <v>215.585983</v>
      </c>
      <c r="AG62" s="5">
        <f t="shared" si="6"/>
        <v>-0.9250270282931764</v>
      </c>
      <c r="AJ62" s="1">
        <v>42459</v>
      </c>
      <c r="AK62">
        <v>53.875853999999997</v>
      </c>
      <c r="AL62" s="5">
        <f t="shared" si="7"/>
        <v>-8.7637747755321238E-2</v>
      </c>
      <c r="AO62" s="1">
        <v>42459</v>
      </c>
      <c r="AP62">
        <v>40.152225000000001</v>
      </c>
      <c r="AQ62" s="5">
        <f t="shared" si="8"/>
        <v>0.43404614042093392</v>
      </c>
      <c r="AT62" s="1">
        <v>42459</v>
      </c>
      <c r="AU62">
        <v>160.625427</v>
      </c>
      <c r="AV62" s="5">
        <f t="shared" si="9"/>
        <v>1.4356172372002221</v>
      </c>
    </row>
    <row r="63" spans="1:48" x14ac:dyDescent="0.2">
      <c r="A63" s="1">
        <v>42460</v>
      </c>
      <c r="B63">
        <v>11.113885</v>
      </c>
      <c r="C63" s="5">
        <f t="shared" si="0"/>
        <v>1.5490641289797911</v>
      </c>
      <c r="F63" s="1">
        <v>42460</v>
      </c>
      <c r="G63">
        <v>160.01503</v>
      </c>
      <c r="H63" s="5">
        <f t="shared" si="1"/>
        <v>-2.1063558832144995</v>
      </c>
      <c r="K63" s="1">
        <v>42460</v>
      </c>
      <c r="L63">
        <v>111.95217100000001</v>
      </c>
      <c r="M63" s="5">
        <f t="shared" si="2"/>
        <v>2.5998213969701076E-2</v>
      </c>
      <c r="P63" s="1">
        <v>42460</v>
      </c>
      <c r="Q63">
        <v>93.800003000000004</v>
      </c>
      <c r="R63" s="5">
        <f t="shared" si="3"/>
        <v>2.1330774379726889E-2</v>
      </c>
      <c r="U63" s="1">
        <v>42460</v>
      </c>
      <c r="V63">
        <v>2.85</v>
      </c>
      <c r="W63" s="5">
        <f t="shared" si="4"/>
        <v>-0.3496503496503422</v>
      </c>
      <c r="Z63" s="1">
        <v>42460</v>
      </c>
      <c r="AA63">
        <v>33.634075000000003</v>
      </c>
      <c r="AB63" s="5">
        <f t="shared" si="5"/>
        <v>-0.67507956769511002</v>
      </c>
      <c r="AE63" s="1">
        <v>42460</v>
      </c>
      <c r="AF63">
        <v>217.36964399999999</v>
      </c>
      <c r="AG63" s="5">
        <f t="shared" si="6"/>
        <v>0.82735480998316813</v>
      </c>
      <c r="AJ63" s="1">
        <v>42460</v>
      </c>
      <c r="AK63">
        <v>53.989272999999997</v>
      </c>
      <c r="AL63" s="5">
        <f t="shared" si="7"/>
        <v>0.21051916875415169</v>
      </c>
      <c r="AO63" s="1">
        <v>42460</v>
      </c>
      <c r="AP63">
        <v>40.325747999999997</v>
      </c>
      <c r="AQ63" s="5">
        <f t="shared" si="8"/>
        <v>0.43216285025299561</v>
      </c>
      <c r="AT63" s="1">
        <v>42460</v>
      </c>
      <c r="AU63">
        <v>160.50984199999999</v>
      </c>
      <c r="AV63" s="5">
        <f t="shared" si="9"/>
        <v>-7.1959341779685992E-2</v>
      </c>
    </row>
    <row r="64" spans="1:48" x14ac:dyDescent="0.2">
      <c r="A64" s="1">
        <v>42461</v>
      </c>
      <c r="B64">
        <v>10.897258000000001</v>
      </c>
      <c r="C64" s="5">
        <f t="shared" si="0"/>
        <v>-1.9491563931064522</v>
      </c>
      <c r="F64" s="1">
        <v>42461</v>
      </c>
      <c r="G64">
        <v>160.094864</v>
      </c>
      <c r="H64" s="5">
        <f t="shared" si="1"/>
        <v>4.9891563311274749E-2</v>
      </c>
      <c r="K64" s="1">
        <v>42461</v>
      </c>
      <c r="L64">
        <v>112.873795</v>
      </c>
      <c r="M64" s="5">
        <f t="shared" si="2"/>
        <v>0.82323012744432988</v>
      </c>
      <c r="P64" s="1">
        <v>42461</v>
      </c>
      <c r="Q64">
        <v>95.160004000000001</v>
      </c>
      <c r="R64" s="5">
        <f t="shared" si="3"/>
        <v>1.4498944099180859</v>
      </c>
      <c r="U64" s="1">
        <v>42461</v>
      </c>
      <c r="V64">
        <v>2.83</v>
      </c>
      <c r="W64" s="5">
        <f t="shared" si="4"/>
        <v>-0.70175438596491291</v>
      </c>
      <c r="Z64" s="1">
        <v>42461</v>
      </c>
      <c r="AA64">
        <v>34.210545000000003</v>
      </c>
      <c r="AB64" s="5">
        <f t="shared" si="5"/>
        <v>1.7139463475656769</v>
      </c>
      <c r="AE64" s="1">
        <v>42461</v>
      </c>
      <c r="AF64">
        <v>222.55126999999999</v>
      </c>
      <c r="AG64" s="5">
        <f t="shared" si="6"/>
        <v>2.3837854746636076</v>
      </c>
      <c r="AJ64" s="1">
        <v>42461</v>
      </c>
      <c r="AK64">
        <v>54.272830999999996</v>
      </c>
      <c r="AL64" s="5">
        <f t="shared" si="7"/>
        <v>0.5252117397468925</v>
      </c>
      <c r="AO64" s="1">
        <v>42461</v>
      </c>
      <c r="AP64">
        <v>40.672806000000001</v>
      </c>
      <c r="AQ64" s="5">
        <f t="shared" si="8"/>
        <v>0.86063623667936451</v>
      </c>
      <c r="AT64" s="1">
        <v>42461</v>
      </c>
      <c r="AU64">
        <v>161.37676999999999</v>
      </c>
      <c r="AV64" s="5">
        <f t="shared" si="9"/>
        <v>0.54010893612368116</v>
      </c>
    </row>
    <row r="65" spans="1:48" x14ac:dyDescent="0.2">
      <c r="A65" s="1">
        <v>42464</v>
      </c>
      <c r="B65">
        <v>10.699467</v>
      </c>
      <c r="C65" s="5">
        <f t="shared" si="0"/>
        <v>-1.815052924322802</v>
      </c>
      <c r="F65" s="1">
        <v>42464</v>
      </c>
      <c r="G65">
        <v>158.90728799999999</v>
      </c>
      <c r="H65" s="5">
        <f t="shared" si="1"/>
        <v>-0.74179518963207158</v>
      </c>
      <c r="K65" s="1">
        <v>42464</v>
      </c>
      <c r="L65">
        <v>112.049187</v>
      </c>
      <c r="M65" s="5">
        <f t="shared" si="2"/>
        <v>-0.73055752223091086</v>
      </c>
      <c r="P65" s="1">
        <v>42464</v>
      </c>
      <c r="Q65">
        <v>94.5</v>
      </c>
      <c r="R65" s="5">
        <f t="shared" si="3"/>
        <v>-0.69357290064847066</v>
      </c>
      <c r="U65" s="1">
        <v>42464</v>
      </c>
      <c r="V65">
        <v>2.83</v>
      </c>
      <c r="W65" s="5">
        <f t="shared" si="4"/>
        <v>0</v>
      </c>
      <c r="Z65" s="1">
        <v>42464</v>
      </c>
      <c r="AA65">
        <v>34.021701999999998</v>
      </c>
      <c r="AB65" s="5">
        <f t="shared" si="5"/>
        <v>-0.55200231390644494</v>
      </c>
      <c r="AE65" s="1">
        <v>42464</v>
      </c>
      <c r="AF65">
        <v>219.392471</v>
      </c>
      <c r="AG65" s="5">
        <f t="shared" si="6"/>
        <v>-1.4193578854885833</v>
      </c>
      <c r="AJ65" s="1">
        <v>42464</v>
      </c>
      <c r="AK65">
        <v>55.964725000000001</v>
      </c>
      <c r="AL65" s="5">
        <f t="shared" si="7"/>
        <v>3.1173866717953316</v>
      </c>
      <c r="AO65" s="1">
        <v>42464</v>
      </c>
      <c r="AP65">
        <v>40.798121999999999</v>
      </c>
      <c r="AQ65" s="5">
        <f t="shared" si="8"/>
        <v>0.30810758421732198</v>
      </c>
      <c r="AT65" s="1">
        <v>42464</v>
      </c>
      <c r="AU65">
        <v>160.288284</v>
      </c>
      <c r="AV65" s="5">
        <f t="shared" si="9"/>
        <v>-0.67449980564116452</v>
      </c>
    </row>
    <row r="66" spans="1:48" x14ac:dyDescent="0.2">
      <c r="A66" s="1">
        <v>42465</v>
      </c>
      <c r="B66">
        <v>10.426330999999999</v>
      </c>
      <c r="C66" s="5">
        <f t="shared" si="0"/>
        <v>-2.5528000600403824</v>
      </c>
      <c r="F66" s="1">
        <v>42465</v>
      </c>
      <c r="G66">
        <v>160.144791</v>
      </c>
      <c r="H66" s="5">
        <f t="shared" si="1"/>
        <v>0.77875786288669391</v>
      </c>
      <c r="K66" s="1">
        <v>42465</v>
      </c>
      <c r="L66">
        <v>110.720108</v>
      </c>
      <c r="M66" s="5">
        <f t="shared" si="2"/>
        <v>-1.1861567545331742</v>
      </c>
      <c r="P66" s="1">
        <v>42465</v>
      </c>
      <c r="Q66">
        <v>94.169998000000007</v>
      </c>
      <c r="R66" s="5">
        <f t="shared" si="3"/>
        <v>-0.34920846560845847</v>
      </c>
      <c r="U66" s="1">
        <v>42465</v>
      </c>
      <c r="V66">
        <v>2.76</v>
      </c>
      <c r="W66" s="5">
        <f t="shared" si="4"/>
        <v>-2.4734982332155577</v>
      </c>
      <c r="Z66" s="1">
        <v>42465</v>
      </c>
      <c r="AA66">
        <v>33.504868000000002</v>
      </c>
      <c r="AB66" s="5">
        <f t="shared" si="5"/>
        <v>-1.5191303480348979</v>
      </c>
      <c r="AE66" s="1">
        <v>42465</v>
      </c>
      <c r="AF66">
        <v>224.20542900000001</v>
      </c>
      <c r="AG66" s="5">
        <f t="shared" si="6"/>
        <v>2.1937662573662378</v>
      </c>
      <c r="AJ66" s="1">
        <v>42465</v>
      </c>
      <c r="AK66">
        <v>55.331448000000002</v>
      </c>
      <c r="AL66" s="5">
        <f t="shared" si="7"/>
        <v>-1.1315645703610615</v>
      </c>
      <c r="AO66" s="1">
        <v>42465</v>
      </c>
      <c r="AP66">
        <v>40.528198000000003</v>
      </c>
      <c r="AQ66" s="5">
        <f t="shared" si="8"/>
        <v>-0.66160888484032687</v>
      </c>
      <c r="AT66" s="1">
        <v>42465</v>
      </c>
      <c r="AU66">
        <v>159.719955</v>
      </c>
      <c r="AV66" s="5">
        <f t="shared" si="9"/>
        <v>-0.35456677544817039</v>
      </c>
    </row>
    <row r="67" spans="1:48" x14ac:dyDescent="0.2">
      <c r="A67" s="1">
        <v>42466</v>
      </c>
      <c r="B67">
        <v>10.435748</v>
      </c>
      <c r="C67" s="5">
        <f t="shared" si="0"/>
        <v>9.0319403824805647E-2</v>
      </c>
      <c r="F67" s="1">
        <v>42466</v>
      </c>
      <c r="G67">
        <v>159.55595400000001</v>
      </c>
      <c r="H67" s="5">
        <f t="shared" si="1"/>
        <v>-0.36769038588334968</v>
      </c>
      <c r="K67" s="1">
        <v>42466</v>
      </c>
      <c r="L67">
        <v>111.24397999999999</v>
      </c>
      <c r="M67" s="5">
        <f t="shared" si="2"/>
        <v>0.47314982749113399</v>
      </c>
      <c r="P67" s="1">
        <v>42466</v>
      </c>
      <c r="Q67">
        <v>95.400002000000001</v>
      </c>
      <c r="R67" s="5">
        <f t="shared" si="3"/>
        <v>1.3061527302995097</v>
      </c>
      <c r="U67" s="1">
        <v>42466</v>
      </c>
      <c r="V67">
        <v>2.8</v>
      </c>
      <c r="W67" s="5">
        <f t="shared" si="4"/>
        <v>1.4492753623188419</v>
      </c>
      <c r="Z67" s="1">
        <v>42466</v>
      </c>
      <c r="AA67">
        <v>33.793101999999998</v>
      </c>
      <c r="AB67" s="5">
        <f t="shared" si="5"/>
        <v>0.86027499048793643</v>
      </c>
      <c r="AE67" s="1">
        <v>42466</v>
      </c>
      <c r="AF67">
        <v>253.95002700000001</v>
      </c>
      <c r="AG67" s="5">
        <f t="shared" si="6"/>
        <v>13.26667161123917</v>
      </c>
      <c r="AJ67" s="1">
        <v>42466</v>
      </c>
      <c r="AK67">
        <v>56.607452000000002</v>
      </c>
      <c r="AL67" s="5">
        <f t="shared" si="7"/>
        <v>2.3061098997445364</v>
      </c>
      <c r="AO67" s="1">
        <v>42466</v>
      </c>
      <c r="AP67">
        <v>41.501880999999997</v>
      </c>
      <c r="AQ67" s="5">
        <f t="shared" si="8"/>
        <v>2.4024828342972318</v>
      </c>
      <c r="AT67" s="1">
        <v>42466</v>
      </c>
      <c r="AU67">
        <v>160.683258</v>
      </c>
      <c r="AV67" s="5">
        <f t="shared" si="9"/>
        <v>0.60312000463561133</v>
      </c>
    </row>
    <row r="68" spans="1:48" x14ac:dyDescent="0.2">
      <c r="A68" s="1">
        <v>42467</v>
      </c>
      <c r="B68">
        <v>10.228540000000001</v>
      </c>
      <c r="C68" s="5">
        <f t="shared" si="0"/>
        <v>-1.9855596359743415</v>
      </c>
      <c r="F68" s="1">
        <v>42467</v>
      </c>
      <c r="G68">
        <v>155.51419100000001</v>
      </c>
      <c r="H68" s="5">
        <f t="shared" si="1"/>
        <v>-2.5331320446995056</v>
      </c>
      <c r="K68" s="1">
        <v>42467</v>
      </c>
      <c r="L68">
        <v>108.75076300000001</v>
      </c>
      <c r="M68" s="5">
        <f t="shared" si="2"/>
        <v>-2.2412152100275335</v>
      </c>
      <c r="P68" s="1">
        <v>42467</v>
      </c>
      <c r="Q68">
        <v>93.779999000000004</v>
      </c>
      <c r="R68" s="5">
        <f t="shared" si="3"/>
        <v>-1.6981163166013318</v>
      </c>
      <c r="U68" s="1">
        <v>42467</v>
      </c>
      <c r="V68">
        <v>2.64</v>
      </c>
      <c r="W68" s="5">
        <f t="shared" si="4"/>
        <v>-5.7142857142857038</v>
      </c>
      <c r="Z68" s="1">
        <v>42467</v>
      </c>
      <c r="AA68">
        <v>33.216628999999998</v>
      </c>
      <c r="AB68" s="5">
        <f t="shared" si="5"/>
        <v>-1.7058895629054711</v>
      </c>
      <c r="AE68" s="1">
        <v>42467</v>
      </c>
      <c r="AF68">
        <v>247.423157</v>
      </c>
      <c r="AG68" s="5">
        <f t="shared" si="6"/>
        <v>-2.5701395180399023</v>
      </c>
      <c r="AJ68" s="1">
        <v>42467</v>
      </c>
      <c r="AK68">
        <v>56.049788999999997</v>
      </c>
      <c r="AL68" s="5">
        <f t="shared" si="7"/>
        <v>-0.98514061364218464</v>
      </c>
      <c r="AO68" s="1">
        <v>42467</v>
      </c>
      <c r="AP68">
        <v>41.077702000000002</v>
      </c>
      <c r="AQ68" s="5">
        <f t="shared" si="8"/>
        <v>-1.0220717465793785</v>
      </c>
      <c r="AT68" s="1">
        <v>42467</v>
      </c>
      <c r="AU68">
        <v>161.020386</v>
      </c>
      <c r="AV68" s="5">
        <f t="shared" si="9"/>
        <v>0.20980903934621925</v>
      </c>
    </row>
    <row r="69" spans="1:48" x14ac:dyDescent="0.2">
      <c r="A69" s="1">
        <v>42468</v>
      </c>
      <c r="B69">
        <v>10.322727</v>
      </c>
      <c r="C69" s="5">
        <f t="shared" ref="C69:C132" si="10">((B69-B68)/B68)*100</f>
        <v>0.9208254550502788</v>
      </c>
      <c r="F69" s="1">
        <v>42468</v>
      </c>
      <c r="G69">
        <v>155.79359400000001</v>
      </c>
      <c r="H69" s="5">
        <f t="shared" ref="H69:H132" si="11">((G69-G68)/G68)*100</f>
        <v>0.17966398963551955</v>
      </c>
      <c r="K69" s="1">
        <v>42468</v>
      </c>
      <c r="L69">
        <v>109.45895400000001</v>
      </c>
      <c r="M69" s="5">
        <f t="shared" ref="M69:M132" si="12">((L69-L68)/L68)*100</f>
        <v>0.65120554602453617</v>
      </c>
      <c r="P69" s="1">
        <v>42468</v>
      </c>
      <c r="Q69">
        <v>94.07</v>
      </c>
      <c r="R69" s="5">
        <f t="shared" ref="R69:R132" si="13">((Q69-Q68)/Q68)*100</f>
        <v>0.30923544795515456</v>
      </c>
      <c r="U69" s="1">
        <v>42468</v>
      </c>
      <c r="V69">
        <v>2.74</v>
      </c>
      <c r="W69" s="5">
        <f t="shared" ref="W69:W132" si="14">((V69-V68)/V68)*100</f>
        <v>3.7878787878787907</v>
      </c>
      <c r="Z69" s="1">
        <v>42468</v>
      </c>
      <c r="AA69">
        <v>33.763286999999998</v>
      </c>
      <c r="AB69" s="5">
        <f t="shared" ref="AB69:AB132" si="15">((AA69-AA68)/AA68)*100</f>
        <v>1.6457359354557044</v>
      </c>
      <c r="AE69" s="1">
        <v>42468</v>
      </c>
      <c r="AF69">
        <v>249.23670999999999</v>
      </c>
      <c r="AG69" s="5">
        <f t="shared" ref="AG69:AG132" si="16">((AF69-AF68)/AF68)*100</f>
        <v>0.73297625896834895</v>
      </c>
      <c r="AJ69" s="1">
        <v>42468</v>
      </c>
      <c r="AK69">
        <v>55.265284999999999</v>
      </c>
      <c r="AL69" s="5">
        <f t="shared" ref="AL69:AL132" si="17">((AK69-AK68)/AK68)*100</f>
        <v>-1.399655581219045</v>
      </c>
      <c r="AO69" s="1">
        <v>42468</v>
      </c>
      <c r="AP69">
        <v>40.846336000000001</v>
      </c>
      <c r="AQ69" s="5">
        <f t="shared" ref="AQ69:AQ132" si="18">((AP69-AP68)/AP68)*100</f>
        <v>-0.56323988133513714</v>
      </c>
      <c r="AT69" s="1">
        <v>42468</v>
      </c>
      <c r="AU69">
        <v>160.50984199999999</v>
      </c>
      <c r="AV69" s="5">
        <f t="shared" ref="AV69:AV132" si="19">((AU69-AU68)/AU68)*100</f>
        <v>-0.31706792703876024</v>
      </c>
    </row>
    <row r="70" spans="1:48" x14ac:dyDescent="0.2">
      <c r="A70" s="1">
        <v>42471</v>
      </c>
      <c r="B70">
        <v>10.379237</v>
      </c>
      <c r="C70" s="5">
        <f t="shared" si="10"/>
        <v>0.54743286342842734</v>
      </c>
      <c r="F70" s="1">
        <v>42471</v>
      </c>
      <c r="G70">
        <v>154.45632900000001</v>
      </c>
      <c r="H70" s="5">
        <f t="shared" si="11"/>
        <v>-0.85835685901180381</v>
      </c>
      <c r="K70" s="1">
        <v>42471</v>
      </c>
      <c r="L70">
        <v>109.72088599999999</v>
      </c>
      <c r="M70" s="5">
        <f t="shared" si="12"/>
        <v>0.23929700625495415</v>
      </c>
      <c r="P70" s="1">
        <v>42471</v>
      </c>
      <c r="Q70">
        <v>92.949996999999996</v>
      </c>
      <c r="R70" s="5">
        <f t="shared" si="13"/>
        <v>-1.1906059317529467</v>
      </c>
      <c r="U70" s="1">
        <v>42471</v>
      </c>
      <c r="V70">
        <v>2.76</v>
      </c>
      <c r="W70" s="5">
        <f t="shared" si="14"/>
        <v>0.72992700729925442</v>
      </c>
      <c r="Z70" s="1">
        <v>42471</v>
      </c>
      <c r="AA70">
        <v>33.206691999999997</v>
      </c>
      <c r="AB70" s="5">
        <f t="shared" si="15"/>
        <v>-1.6485213658255535</v>
      </c>
      <c r="AE70" s="1">
        <v>42471</v>
      </c>
      <c r="AF70">
        <v>247.29359400000001</v>
      </c>
      <c r="AG70" s="5">
        <f t="shared" si="16"/>
        <v>-0.7796267251320943</v>
      </c>
      <c r="AJ70" s="1">
        <v>42471</v>
      </c>
      <c r="AK70">
        <v>55.293640000000003</v>
      </c>
      <c r="AL70" s="5">
        <f t="shared" si="17"/>
        <v>5.1307072785392843E-2</v>
      </c>
      <c r="AO70" s="1">
        <v>42471</v>
      </c>
      <c r="AP70">
        <v>40.952376999999998</v>
      </c>
      <c r="AQ70" s="5">
        <f t="shared" si="18"/>
        <v>0.25960957673167456</v>
      </c>
      <c r="AT70" s="1">
        <v>42471</v>
      </c>
      <c r="AU70">
        <v>160.47131300000001</v>
      </c>
      <c r="AV70" s="5">
        <f t="shared" si="19"/>
        <v>-2.4004135522096345E-2</v>
      </c>
    </row>
    <row r="71" spans="1:48" x14ac:dyDescent="0.2">
      <c r="A71" s="1">
        <v>42472</v>
      </c>
      <c r="B71">
        <v>10.511096999999999</v>
      </c>
      <c r="C71" s="5">
        <f t="shared" si="10"/>
        <v>1.2704209374928008</v>
      </c>
      <c r="F71" s="1">
        <v>42472</v>
      </c>
      <c r="G71">
        <v>156.182816</v>
      </c>
      <c r="H71" s="5">
        <f t="shared" si="11"/>
        <v>1.1177832667510772</v>
      </c>
      <c r="K71" s="1">
        <v>42472</v>
      </c>
      <c r="L71">
        <v>110.972343</v>
      </c>
      <c r="M71" s="5">
        <f t="shared" si="12"/>
        <v>1.1405822953343652</v>
      </c>
      <c r="P71" s="1">
        <v>42472</v>
      </c>
      <c r="Q71">
        <v>93.419998000000007</v>
      </c>
      <c r="R71" s="5">
        <f t="shared" si="13"/>
        <v>0.50564929012317295</v>
      </c>
      <c r="U71" s="1">
        <v>42472</v>
      </c>
      <c r="V71">
        <v>2.81</v>
      </c>
      <c r="W71" s="5">
        <f t="shared" si="14"/>
        <v>1.8115942028985605</v>
      </c>
      <c r="Z71" s="1">
        <v>42472</v>
      </c>
      <c r="AA71">
        <v>33.276268000000002</v>
      </c>
      <c r="AB71" s="5">
        <f t="shared" si="15"/>
        <v>0.20952403208366849</v>
      </c>
      <c r="AE71" s="1">
        <v>42472</v>
      </c>
      <c r="AF71">
        <v>248.947754</v>
      </c>
      <c r="AG71" s="5">
        <f t="shared" si="16"/>
        <v>0.66890531745840132</v>
      </c>
      <c r="AJ71" s="1">
        <v>42472</v>
      </c>
      <c r="AK71">
        <v>56.607452000000002</v>
      </c>
      <c r="AL71" s="5">
        <f t="shared" si="17"/>
        <v>2.3760635038677114</v>
      </c>
      <c r="AO71" s="1">
        <v>42472</v>
      </c>
      <c r="AP71">
        <v>41.280144</v>
      </c>
      <c r="AQ71" s="5">
        <f t="shared" si="18"/>
        <v>0.80036135631394845</v>
      </c>
      <c r="AT71" s="1">
        <v>42472</v>
      </c>
      <c r="AU71">
        <v>161.858429</v>
      </c>
      <c r="AV71" s="5">
        <f t="shared" si="19"/>
        <v>0.8644012279004607</v>
      </c>
    </row>
    <row r="72" spans="1:48" x14ac:dyDescent="0.2">
      <c r="A72" s="1">
        <v>42473</v>
      </c>
      <c r="B72">
        <v>10.577026</v>
      </c>
      <c r="C72" s="5">
        <f t="shared" si="10"/>
        <v>0.62723234311319342</v>
      </c>
      <c r="F72" s="1">
        <v>42473</v>
      </c>
      <c r="G72">
        <v>160.16473400000001</v>
      </c>
      <c r="H72" s="5">
        <f t="shared" si="11"/>
        <v>2.5495237581066585</v>
      </c>
      <c r="K72" s="1">
        <v>42473</v>
      </c>
      <c r="L72">
        <v>112.608177</v>
      </c>
      <c r="M72" s="5">
        <f t="shared" si="12"/>
        <v>1.474091612177642</v>
      </c>
      <c r="P72" s="1">
        <v>42473</v>
      </c>
      <c r="Q72">
        <v>94.529999000000004</v>
      </c>
      <c r="R72" s="5">
        <f t="shared" si="13"/>
        <v>1.1881834979272821</v>
      </c>
      <c r="U72" s="1">
        <v>42473</v>
      </c>
      <c r="V72">
        <v>2.8</v>
      </c>
      <c r="W72" s="5">
        <f t="shared" si="14"/>
        <v>-0.35587188612100468</v>
      </c>
      <c r="Z72" s="1">
        <v>42473</v>
      </c>
      <c r="AA72">
        <v>34.946044999999998</v>
      </c>
      <c r="AB72" s="5">
        <f t="shared" si="15"/>
        <v>5.0179214808583588</v>
      </c>
      <c r="AE72" s="1">
        <v>42473</v>
      </c>
      <c r="AF72">
        <v>255.68383800000001</v>
      </c>
      <c r="AG72" s="5">
        <f t="shared" si="16"/>
        <v>2.7058223630328495</v>
      </c>
      <c r="AJ72" s="1">
        <v>42473</v>
      </c>
      <c r="AK72">
        <v>56.359341000000001</v>
      </c>
      <c r="AL72" s="5">
        <f t="shared" si="17"/>
        <v>-0.43830095019998699</v>
      </c>
      <c r="AO72" s="1">
        <v>42473</v>
      </c>
      <c r="AP72">
        <v>42.046391</v>
      </c>
      <c r="AQ72" s="5">
        <f t="shared" si="18"/>
        <v>1.8562120325936844</v>
      </c>
      <c r="AT72" s="1">
        <v>42473</v>
      </c>
      <c r="AU72">
        <v>162.397842</v>
      </c>
      <c r="AV72" s="5">
        <f t="shared" si="19"/>
        <v>0.33326222386601573</v>
      </c>
    </row>
    <row r="73" spans="1:48" x14ac:dyDescent="0.2">
      <c r="A73" s="1">
        <v>42474</v>
      </c>
      <c r="B73">
        <v>10.586446</v>
      </c>
      <c r="C73" s="5">
        <f t="shared" si="10"/>
        <v>8.9060951537799263E-2</v>
      </c>
      <c r="F73" s="1">
        <v>42474</v>
      </c>
      <c r="G73">
        <v>160.613831</v>
      </c>
      <c r="H73" s="5">
        <f t="shared" si="11"/>
        <v>0.28039693182395242</v>
      </c>
      <c r="K73" s="1">
        <v>42474</v>
      </c>
      <c r="L73">
        <v>112.40248099999999</v>
      </c>
      <c r="M73" s="5">
        <f t="shared" si="12"/>
        <v>-0.18266524286242838</v>
      </c>
      <c r="P73" s="1">
        <v>42474</v>
      </c>
      <c r="Q73">
        <v>94.440002000000007</v>
      </c>
      <c r="R73" s="5">
        <f t="shared" si="13"/>
        <v>-9.5204697928746168E-2</v>
      </c>
      <c r="U73" s="1">
        <v>42474</v>
      </c>
      <c r="V73">
        <v>2.72</v>
      </c>
      <c r="W73" s="5">
        <f t="shared" si="14"/>
        <v>-2.8571428571428439</v>
      </c>
      <c r="Z73" s="1">
        <v>42474</v>
      </c>
      <c r="AA73">
        <v>34.697563000000002</v>
      </c>
      <c r="AB73" s="5">
        <f t="shared" si="15"/>
        <v>-0.71104469761884548</v>
      </c>
      <c r="AE73" s="1">
        <v>42474</v>
      </c>
      <c r="AF73">
        <v>254.15849299999999</v>
      </c>
      <c r="AG73" s="5">
        <f t="shared" si="16"/>
        <v>-0.59657466499701695</v>
      </c>
      <c r="AJ73" s="1">
        <v>42474</v>
      </c>
      <c r="AK73">
        <v>56.569282999999999</v>
      </c>
      <c r="AL73" s="5">
        <f t="shared" si="17"/>
        <v>0.37250612990666104</v>
      </c>
      <c r="AO73" s="1">
        <v>42474</v>
      </c>
      <c r="AP73">
        <v>42.20158</v>
      </c>
      <c r="AQ73" s="5">
        <f t="shared" si="18"/>
        <v>0.36908994163137576</v>
      </c>
      <c r="AT73" s="1">
        <v>42474</v>
      </c>
      <c r="AU73">
        <v>161.98362700000001</v>
      </c>
      <c r="AV73" s="5">
        <f t="shared" si="19"/>
        <v>-0.2550618868445213</v>
      </c>
    </row>
    <row r="74" spans="1:48" x14ac:dyDescent="0.2">
      <c r="A74" s="1">
        <v>42475</v>
      </c>
      <c r="B74">
        <v>10.595864000000001</v>
      </c>
      <c r="C74" s="5">
        <f t="shared" si="10"/>
        <v>8.896281150444775E-2</v>
      </c>
      <c r="F74" s="1">
        <v>42475</v>
      </c>
      <c r="G74">
        <v>160.86331200000001</v>
      </c>
      <c r="H74" s="5">
        <f t="shared" si="11"/>
        <v>0.15532971129989606</v>
      </c>
      <c r="K74" s="1">
        <v>42475</v>
      </c>
      <c r="L74">
        <v>112.471039</v>
      </c>
      <c r="M74" s="5">
        <f t="shared" si="12"/>
        <v>6.099331561908327E-2</v>
      </c>
      <c r="P74" s="1">
        <v>42475</v>
      </c>
      <c r="Q74">
        <v>95.160004000000001</v>
      </c>
      <c r="R74" s="5">
        <f t="shared" si="13"/>
        <v>0.7623909198985338</v>
      </c>
      <c r="U74" s="1">
        <v>42475</v>
      </c>
      <c r="V74">
        <v>2.7</v>
      </c>
      <c r="W74" s="5">
        <f t="shared" si="14"/>
        <v>-0.73529411764705943</v>
      </c>
      <c r="Z74" s="1">
        <v>42475</v>
      </c>
      <c r="AA74">
        <v>34.359634</v>
      </c>
      <c r="AB74" s="5">
        <f t="shared" si="15"/>
        <v>-0.97392718906512998</v>
      </c>
      <c r="AE74" s="1">
        <v>42475</v>
      </c>
      <c r="AF74">
        <v>255.91317699999999</v>
      </c>
      <c r="AG74" s="5">
        <f t="shared" si="16"/>
        <v>0.69038967743643231</v>
      </c>
      <c r="AJ74" s="1">
        <v>42475</v>
      </c>
      <c r="AK74">
        <v>56.788764999999998</v>
      </c>
      <c r="AL74" s="5">
        <f t="shared" si="17"/>
        <v>0.38798794745197546</v>
      </c>
      <c r="AO74" s="1">
        <v>42475</v>
      </c>
      <c r="AP74">
        <v>42.104588</v>
      </c>
      <c r="AQ74" s="5">
        <f t="shared" si="18"/>
        <v>-0.22983025754012096</v>
      </c>
      <c r="AT74" s="1">
        <v>42475</v>
      </c>
      <c r="AU74">
        <v>162.580872</v>
      </c>
      <c r="AV74" s="5">
        <f t="shared" si="19"/>
        <v>0.36870701753084378</v>
      </c>
    </row>
    <row r="75" spans="1:48" x14ac:dyDescent="0.2">
      <c r="A75" s="1">
        <v>42478</v>
      </c>
      <c r="B75">
        <v>10.652376</v>
      </c>
      <c r="C75" s="5">
        <f t="shared" si="10"/>
        <v>0.53334017877163831</v>
      </c>
      <c r="F75" s="1">
        <v>42478</v>
      </c>
      <c r="G75">
        <v>160.613831</v>
      </c>
      <c r="H75" s="5">
        <f t="shared" si="11"/>
        <v>-0.15508881229549903</v>
      </c>
      <c r="K75" s="1">
        <v>42478</v>
      </c>
      <c r="L75">
        <v>113.22528800000001</v>
      </c>
      <c r="M75" s="5">
        <f t="shared" si="12"/>
        <v>0.67061619302725695</v>
      </c>
      <c r="P75" s="1">
        <v>42478</v>
      </c>
      <c r="Q75">
        <v>96.550003000000004</v>
      </c>
      <c r="R75" s="5">
        <f t="shared" si="13"/>
        <v>1.4606966599118711</v>
      </c>
      <c r="U75" s="1">
        <v>42478</v>
      </c>
      <c r="V75">
        <v>2.76</v>
      </c>
      <c r="W75" s="5">
        <f t="shared" si="14"/>
        <v>2.2222222222222077</v>
      </c>
      <c r="Z75" s="1">
        <v>42478</v>
      </c>
      <c r="AA75">
        <v>35.224339000000001</v>
      </c>
      <c r="AB75" s="5">
        <f t="shared" si="15"/>
        <v>2.5166304157954671</v>
      </c>
      <c r="AE75" s="1">
        <v>42478</v>
      </c>
      <c r="AF75">
        <v>257.49835200000001</v>
      </c>
      <c r="AG75" s="5">
        <f t="shared" si="16"/>
        <v>0.61941906180158157</v>
      </c>
      <c r="AJ75" s="1">
        <v>42478</v>
      </c>
      <c r="AK75">
        <v>57.141846000000001</v>
      </c>
      <c r="AL75" s="5">
        <f t="shared" si="17"/>
        <v>0.62174445948948376</v>
      </c>
      <c r="AO75" s="1">
        <v>42478</v>
      </c>
      <c r="AP75">
        <v>42.628352999999997</v>
      </c>
      <c r="AQ75" s="5">
        <f t="shared" si="18"/>
        <v>1.2439618219278084</v>
      </c>
      <c r="AT75" s="1">
        <v>42478</v>
      </c>
      <c r="AU75">
        <v>163.32261700000001</v>
      </c>
      <c r="AV75" s="5">
        <f t="shared" si="19"/>
        <v>0.45623140709935961</v>
      </c>
    </row>
    <row r="76" spans="1:48" x14ac:dyDescent="0.2">
      <c r="A76" s="1">
        <v>42479</v>
      </c>
      <c r="B76">
        <v>10.831327</v>
      </c>
      <c r="C76" s="5">
        <f t="shared" si="10"/>
        <v>1.6799162928533469</v>
      </c>
      <c r="F76" s="1">
        <v>42479</v>
      </c>
      <c r="G76">
        <v>160.46414200000001</v>
      </c>
      <c r="H76" s="5">
        <f t="shared" si="11"/>
        <v>-9.3198075824488039E-2</v>
      </c>
      <c r="K76" s="1">
        <v>42479</v>
      </c>
      <c r="L76">
        <v>112.745323</v>
      </c>
      <c r="M76" s="5">
        <f t="shared" si="12"/>
        <v>-0.42390265326594451</v>
      </c>
      <c r="P76" s="1">
        <v>42479</v>
      </c>
      <c r="Q76">
        <v>96.519997000000004</v>
      </c>
      <c r="R76" s="5">
        <f t="shared" si="13"/>
        <v>-3.1078196859300147E-2</v>
      </c>
      <c r="U76" s="1">
        <v>42479</v>
      </c>
      <c r="V76">
        <v>2.62</v>
      </c>
      <c r="W76" s="5">
        <f t="shared" si="14"/>
        <v>-5.0724637681159308</v>
      </c>
      <c r="Z76" s="1">
        <v>42479</v>
      </c>
      <c r="AA76">
        <v>34.995739</v>
      </c>
      <c r="AB76" s="5">
        <f t="shared" si="15"/>
        <v>-0.64898307956893142</v>
      </c>
      <c r="AE76" s="1">
        <v>42479</v>
      </c>
      <c r="AF76">
        <v>258.754547</v>
      </c>
      <c r="AG76" s="5">
        <f t="shared" si="16"/>
        <v>0.48784584065997866</v>
      </c>
      <c r="AJ76" s="1">
        <v>42479</v>
      </c>
      <c r="AK76">
        <v>57.418582999999998</v>
      </c>
      <c r="AL76" s="5">
        <f t="shared" si="17"/>
        <v>0.4842983196587613</v>
      </c>
      <c r="AO76" s="1">
        <v>42479</v>
      </c>
      <c r="AP76">
        <v>42.531353000000003</v>
      </c>
      <c r="AQ76" s="5">
        <f t="shared" si="18"/>
        <v>-0.22754808284522324</v>
      </c>
      <c r="AT76" s="1">
        <v>42479</v>
      </c>
      <c r="AU76">
        <v>163.41890000000001</v>
      </c>
      <c r="AV76" s="5">
        <f t="shared" si="19"/>
        <v>5.8952643405168842E-2</v>
      </c>
    </row>
    <row r="77" spans="1:48" x14ac:dyDescent="0.2">
      <c r="A77" s="1">
        <v>42480</v>
      </c>
      <c r="B77">
        <v>10.614701</v>
      </c>
      <c r="C77" s="5">
        <f t="shared" si="10"/>
        <v>-1.9999950144612915</v>
      </c>
      <c r="F77" s="1">
        <v>42480</v>
      </c>
      <c r="G77">
        <v>158.06899999999999</v>
      </c>
      <c r="H77" s="5">
        <f t="shared" si="11"/>
        <v>-1.4926337873043443</v>
      </c>
      <c r="K77" s="1">
        <v>42480</v>
      </c>
      <c r="L77">
        <v>113.176315</v>
      </c>
      <c r="M77" s="5">
        <f t="shared" si="12"/>
        <v>0.38227040247159821</v>
      </c>
      <c r="P77" s="1">
        <v>42480</v>
      </c>
      <c r="Q77">
        <v>96.330001999999993</v>
      </c>
      <c r="R77" s="5">
        <f t="shared" si="13"/>
        <v>-0.19684521954555215</v>
      </c>
      <c r="U77" s="1">
        <v>42480</v>
      </c>
      <c r="V77">
        <v>2.7</v>
      </c>
      <c r="W77" s="5">
        <f t="shared" si="14"/>
        <v>3.0534351145038197</v>
      </c>
      <c r="Z77" s="1">
        <v>42480</v>
      </c>
      <c r="AA77">
        <v>35.035496000000002</v>
      </c>
      <c r="AB77" s="5">
        <f t="shared" si="15"/>
        <v>0.11360525920027463</v>
      </c>
      <c r="AE77" s="1">
        <v>42480</v>
      </c>
      <c r="AF77">
        <v>256.790527</v>
      </c>
      <c r="AG77" s="5">
        <f t="shared" si="16"/>
        <v>-0.75902820753136557</v>
      </c>
      <c r="AJ77" s="1">
        <v>42480</v>
      </c>
      <c r="AK77">
        <v>57.714413</v>
      </c>
      <c r="AL77" s="5">
        <f t="shared" si="17"/>
        <v>0.51521647617114175</v>
      </c>
      <c r="AO77" s="1">
        <v>42480</v>
      </c>
      <c r="AP77">
        <v>42.647747000000003</v>
      </c>
      <c r="AQ77" s="5">
        <f t="shared" si="18"/>
        <v>0.27366634680067586</v>
      </c>
      <c r="AT77" s="1">
        <v>42480</v>
      </c>
      <c r="AU77">
        <v>162.73500100000001</v>
      </c>
      <c r="AV77" s="5">
        <f t="shared" si="19"/>
        <v>-0.41849443363037975</v>
      </c>
    </row>
    <row r="78" spans="1:48" x14ac:dyDescent="0.2">
      <c r="A78" s="1">
        <v>42481</v>
      </c>
      <c r="B78">
        <v>10.464005</v>
      </c>
      <c r="C78" s="5">
        <f t="shared" si="10"/>
        <v>-1.4196914260703146</v>
      </c>
      <c r="F78" s="1">
        <v>42481</v>
      </c>
      <c r="G78">
        <v>156.81156899999999</v>
      </c>
      <c r="H78" s="5">
        <f t="shared" si="11"/>
        <v>-0.79549500534576489</v>
      </c>
      <c r="K78" s="1">
        <v>42481</v>
      </c>
      <c r="L78">
        <v>112.13800000000001</v>
      </c>
      <c r="M78" s="5">
        <f t="shared" si="12"/>
        <v>-0.91743135478478621</v>
      </c>
      <c r="P78" s="1">
        <v>42481</v>
      </c>
      <c r="Q78">
        <v>96.370002999999997</v>
      </c>
      <c r="R78" s="5">
        <f t="shared" si="13"/>
        <v>4.1524965399672396E-2</v>
      </c>
      <c r="U78" s="1">
        <v>42481</v>
      </c>
      <c r="V78">
        <v>2.62</v>
      </c>
      <c r="W78" s="5">
        <f t="shared" si="14"/>
        <v>-2.9629629629629655</v>
      </c>
      <c r="Z78" s="1">
        <v>42481</v>
      </c>
      <c r="AA78">
        <v>34.975861000000002</v>
      </c>
      <c r="AB78" s="5">
        <f t="shared" si="15"/>
        <v>-0.17021308903404736</v>
      </c>
      <c r="AE78" s="1">
        <v>42481</v>
      </c>
      <c r="AF78">
        <v>254.82646199999999</v>
      </c>
      <c r="AG78" s="5">
        <f t="shared" si="16"/>
        <v>-0.76485103362088003</v>
      </c>
      <c r="AJ78" s="1">
        <v>42481</v>
      </c>
      <c r="AK78">
        <v>58.563713</v>
      </c>
      <c r="AL78" s="5">
        <f t="shared" si="17"/>
        <v>1.4715561605036156</v>
      </c>
      <c r="AO78" s="1">
        <v>42481</v>
      </c>
      <c r="AP78">
        <v>42.560451999999998</v>
      </c>
      <c r="AQ78" s="5">
        <f t="shared" si="18"/>
        <v>-0.20468842117264616</v>
      </c>
      <c r="AT78" s="1">
        <v>42481</v>
      </c>
      <c r="AU78">
        <v>162.46528599999999</v>
      </c>
      <c r="AV78" s="5">
        <f t="shared" si="19"/>
        <v>-0.16573877674908991</v>
      </c>
    </row>
    <row r="79" spans="1:48" x14ac:dyDescent="0.2">
      <c r="A79" s="1">
        <v>42482</v>
      </c>
      <c r="B79">
        <v>10.529935</v>
      </c>
      <c r="C79" s="5">
        <f t="shared" si="10"/>
        <v>0.63006468364646062</v>
      </c>
      <c r="F79" s="1">
        <v>42482</v>
      </c>
      <c r="G79">
        <v>158.07894899999999</v>
      </c>
      <c r="H79" s="5">
        <f t="shared" si="11"/>
        <v>0.80821842934305621</v>
      </c>
      <c r="K79" s="1">
        <v>42482</v>
      </c>
      <c r="L79">
        <v>111.618835</v>
      </c>
      <c r="M79" s="5">
        <f t="shared" si="12"/>
        <v>-0.46296973372095185</v>
      </c>
      <c r="P79" s="1">
        <v>42482</v>
      </c>
      <c r="Q79">
        <v>94.790001000000004</v>
      </c>
      <c r="R79" s="5">
        <f t="shared" si="13"/>
        <v>-1.6395163959888985</v>
      </c>
      <c r="U79" s="1">
        <v>42482</v>
      </c>
      <c r="V79">
        <v>3.99</v>
      </c>
      <c r="W79" s="5">
        <f t="shared" si="14"/>
        <v>52.290076335877863</v>
      </c>
      <c r="Z79" s="1">
        <v>42482</v>
      </c>
      <c r="AA79">
        <v>34.439148000000003</v>
      </c>
      <c r="AB79" s="5">
        <f t="shared" si="15"/>
        <v>-1.5345240536037092</v>
      </c>
      <c r="AE79" s="1">
        <v>42482</v>
      </c>
      <c r="AF79">
        <v>255.255157</v>
      </c>
      <c r="AG79" s="5">
        <f t="shared" si="16"/>
        <v>0.16823017383493113</v>
      </c>
      <c r="AJ79" s="1">
        <v>42482</v>
      </c>
      <c r="AK79">
        <v>58.611423000000002</v>
      </c>
      <c r="AL79" s="5">
        <f t="shared" si="17"/>
        <v>8.1466829126770265E-2</v>
      </c>
      <c r="AO79" s="1">
        <v>42482</v>
      </c>
      <c r="AP79">
        <v>42.754440000000002</v>
      </c>
      <c r="AQ79" s="5">
        <f t="shared" si="18"/>
        <v>0.45579403151076614</v>
      </c>
      <c r="AT79" s="1">
        <v>42482</v>
      </c>
      <c r="AU79">
        <v>162.46528599999999</v>
      </c>
      <c r="AV79" s="5">
        <f t="shared" si="19"/>
        <v>0</v>
      </c>
    </row>
    <row r="80" spans="1:48" x14ac:dyDescent="0.2">
      <c r="A80" s="1">
        <v>42485</v>
      </c>
      <c r="B80">
        <v>10.3604</v>
      </c>
      <c r="C80" s="5">
        <f t="shared" si="10"/>
        <v>-1.6100289318025207</v>
      </c>
      <c r="F80" s="1">
        <v>42485</v>
      </c>
      <c r="G80">
        <v>157.07103000000001</v>
      </c>
      <c r="H80" s="5">
        <f t="shared" si="11"/>
        <v>-0.63760482112010186</v>
      </c>
      <c r="K80" s="1">
        <v>42485</v>
      </c>
      <c r="L80">
        <v>111.765778</v>
      </c>
      <c r="M80" s="5">
        <f t="shared" si="12"/>
        <v>0.13164713643534548</v>
      </c>
      <c r="P80" s="1">
        <v>42485</v>
      </c>
      <c r="Q80">
        <v>95.800003000000004</v>
      </c>
      <c r="R80" s="5">
        <f t="shared" si="13"/>
        <v>1.0655153384796356</v>
      </c>
      <c r="U80" s="1">
        <v>42485</v>
      </c>
      <c r="V80">
        <v>3.45</v>
      </c>
      <c r="W80" s="5">
        <f t="shared" si="14"/>
        <v>-13.533834586466165</v>
      </c>
      <c r="Z80" s="1">
        <v>42485</v>
      </c>
      <c r="AA80">
        <v>34.707504</v>
      </c>
      <c r="AB80" s="5">
        <f t="shared" si="15"/>
        <v>0.77921788309047924</v>
      </c>
      <c r="AE80" s="1">
        <v>42485</v>
      </c>
      <c r="AF80">
        <v>252.13462799999999</v>
      </c>
      <c r="AG80" s="5">
        <f t="shared" si="16"/>
        <v>-1.2225135964637943</v>
      </c>
      <c r="AJ80" s="1">
        <v>42485</v>
      </c>
      <c r="AK80">
        <v>58.182003000000002</v>
      </c>
      <c r="AL80" s="5">
        <f t="shared" si="17"/>
        <v>-0.73265581693862025</v>
      </c>
      <c r="AO80" s="1">
        <v>42485</v>
      </c>
      <c r="AP80">
        <v>42.686543</v>
      </c>
      <c r="AQ80" s="5">
        <f t="shared" si="18"/>
        <v>-0.1588068981841467</v>
      </c>
      <c r="AT80" s="1">
        <v>42485</v>
      </c>
      <c r="AU80">
        <v>162.195572</v>
      </c>
      <c r="AV80" s="5">
        <f t="shared" si="19"/>
        <v>-0.16601331068348554</v>
      </c>
    </row>
    <row r="81" spans="1:48" x14ac:dyDescent="0.2">
      <c r="A81" s="1">
        <v>42486</v>
      </c>
      <c r="B81">
        <v>10.558189</v>
      </c>
      <c r="C81" s="5">
        <f t="shared" si="10"/>
        <v>1.9090865217559188</v>
      </c>
      <c r="F81" s="1">
        <v>42486</v>
      </c>
      <c r="G81">
        <v>157.95921300000001</v>
      </c>
      <c r="H81" s="5">
        <f t="shared" si="11"/>
        <v>0.56546582778504595</v>
      </c>
      <c r="K81" s="1">
        <v>42486</v>
      </c>
      <c r="L81">
        <v>112.265343</v>
      </c>
      <c r="M81" s="5">
        <f t="shared" si="12"/>
        <v>0.4469749228605594</v>
      </c>
      <c r="P81" s="1">
        <v>42486</v>
      </c>
      <c r="Q81">
        <v>96.150002000000001</v>
      </c>
      <c r="R81" s="5">
        <f t="shared" si="13"/>
        <v>0.36534341235876244</v>
      </c>
      <c r="U81" s="1">
        <v>42486</v>
      </c>
      <c r="V81">
        <v>3.66</v>
      </c>
      <c r="W81" s="5">
        <f t="shared" si="14"/>
        <v>6.086956521739129</v>
      </c>
      <c r="Z81" s="1">
        <v>42486</v>
      </c>
      <c r="AA81">
        <v>34.995739</v>
      </c>
      <c r="AB81" s="5">
        <f t="shared" si="15"/>
        <v>0.83046882311099135</v>
      </c>
      <c r="AE81" s="1">
        <v>42486</v>
      </c>
      <c r="AF81">
        <v>255.703812</v>
      </c>
      <c r="AG81" s="5">
        <f t="shared" si="16"/>
        <v>1.4155865968557111</v>
      </c>
      <c r="AJ81" s="1">
        <v>42486</v>
      </c>
      <c r="AK81">
        <v>58.143828999999997</v>
      </c>
      <c r="AL81" s="5">
        <f t="shared" si="17"/>
        <v>-6.5611354081441711E-2</v>
      </c>
      <c r="AO81" s="1">
        <v>42486</v>
      </c>
      <c r="AP81">
        <v>42.560451999999998</v>
      </c>
      <c r="AQ81" s="5">
        <f t="shared" si="18"/>
        <v>-0.29538817420750707</v>
      </c>
      <c r="AT81" s="1">
        <v>42486</v>
      </c>
      <c r="AU81">
        <v>160.07638499999999</v>
      </c>
      <c r="AV81" s="5">
        <f t="shared" si="19"/>
        <v>-1.3065627956847126</v>
      </c>
    </row>
    <row r="82" spans="1:48" x14ac:dyDescent="0.2">
      <c r="A82" s="1">
        <v>42487</v>
      </c>
      <c r="B82">
        <v>10.718306999999999</v>
      </c>
      <c r="C82" s="5">
        <f t="shared" si="10"/>
        <v>1.5165290183761522</v>
      </c>
      <c r="F82" s="1">
        <v>42487</v>
      </c>
      <c r="G82">
        <v>158.94721999999999</v>
      </c>
      <c r="H82" s="5">
        <f t="shared" si="11"/>
        <v>0.62548235157387233</v>
      </c>
      <c r="K82" s="1">
        <v>42487</v>
      </c>
      <c r="L82">
        <v>113.117546</v>
      </c>
      <c r="M82" s="5">
        <f t="shared" si="12"/>
        <v>0.75909713294155512</v>
      </c>
      <c r="P82" s="1">
        <v>42487</v>
      </c>
      <c r="Q82">
        <v>95.639999000000003</v>
      </c>
      <c r="R82" s="5">
        <f t="shared" si="13"/>
        <v>-0.53042432594020916</v>
      </c>
      <c r="U82" s="1">
        <v>42487</v>
      </c>
      <c r="V82">
        <v>3.73</v>
      </c>
      <c r="W82" s="5">
        <f t="shared" si="14"/>
        <v>1.9125683060109244</v>
      </c>
      <c r="Z82" s="1">
        <v>42487</v>
      </c>
      <c r="AA82">
        <v>34.160851000000001</v>
      </c>
      <c r="AB82" s="5">
        <f t="shared" si="15"/>
        <v>-2.3856847257890434</v>
      </c>
      <c r="AE82" s="1">
        <v>42487</v>
      </c>
      <c r="AF82">
        <v>253.89927700000001</v>
      </c>
      <c r="AG82" s="5">
        <f t="shared" si="16"/>
        <v>-0.70571298326987286</v>
      </c>
      <c r="AJ82" s="1">
        <v>42487</v>
      </c>
      <c r="AK82">
        <v>57.924346999999997</v>
      </c>
      <c r="AL82" s="5">
        <f t="shared" si="17"/>
        <v>-0.37748115969452112</v>
      </c>
      <c r="AO82" s="1">
        <v>42487</v>
      </c>
      <c r="AP82">
        <v>42.511955</v>
      </c>
      <c r="AQ82" s="5">
        <f t="shared" si="18"/>
        <v>-0.11394850787768318</v>
      </c>
      <c r="AT82" s="1">
        <v>42487</v>
      </c>
      <c r="AU82">
        <v>161.59832800000001</v>
      </c>
      <c r="AV82" s="5">
        <f t="shared" si="19"/>
        <v>0.95076047600651503</v>
      </c>
    </row>
    <row r="83" spans="1:48" x14ac:dyDescent="0.2">
      <c r="A83" s="1">
        <v>42488</v>
      </c>
      <c r="B83">
        <v>10.575647999999999</v>
      </c>
      <c r="C83" s="5">
        <f t="shared" si="10"/>
        <v>-1.3309844549143826</v>
      </c>
      <c r="F83" s="1">
        <v>42488</v>
      </c>
      <c r="G83">
        <v>155.554092</v>
      </c>
      <c r="H83" s="5">
        <f t="shared" si="11"/>
        <v>-2.1347513973506365</v>
      </c>
      <c r="K83" s="1">
        <v>42488</v>
      </c>
      <c r="L83">
        <v>111.991074</v>
      </c>
      <c r="M83" s="5">
        <f t="shared" si="12"/>
        <v>-0.99584197132424246</v>
      </c>
      <c r="P83" s="1">
        <v>42488</v>
      </c>
      <c r="Q83">
        <v>93.639999000000003</v>
      </c>
      <c r="R83" s="5">
        <f t="shared" si="13"/>
        <v>-2.0911752623502222</v>
      </c>
      <c r="U83" s="1">
        <v>42488</v>
      </c>
      <c r="V83">
        <v>3.61</v>
      </c>
      <c r="W83" s="5">
        <f t="shared" si="14"/>
        <v>-3.2171581769437028</v>
      </c>
      <c r="Z83" s="1">
        <v>42488</v>
      </c>
      <c r="AA83">
        <v>33.693714</v>
      </c>
      <c r="AB83" s="5">
        <f t="shared" si="15"/>
        <v>-1.3674630061177369</v>
      </c>
      <c r="AE83" s="1">
        <v>42488</v>
      </c>
      <c r="AF83">
        <v>245.524689</v>
      </c>
      <c r="AG83" s="5">
        <f t="shared" si="16"/>
        <v>-3.2983898571715962</v>
      </c>
      <c r="AJ83" s="1">
        <v>42488</v>
      </c>
      <c r="AK83">
        <v>58.401485000000001</v>
      </c>
      <c r="AL83" s="5">
        <f t="shared" si="17"/>
        <v>0.82372616129794896</v>
      </c>
      <c r="AO83" s="1">
        <v>42488</v>
      </c>
      <c r="AP83">
        <v>39.204498000000001</v>
      </c>
      <c r="AQ83" s="5">
        <f t="shared" si="18"/>
        <v>-7.7800632786706698</v>
      </c>
      <c r="AT83" s="1">
        <v>42488</v>
      </c>
      <c r="AU83">
        <v>160.86627200000001</v>
      </c>
      <c r="AV83" s="5">
        <f t="shared" si="19"/>
        <v>-0.45300963757496304</v>
      </c>
    </row>
    <row r="84" spans="1:48" x14ac:dyDescent="0.2">
      <c r="A84" s="1">
        <v>42489</v>
      </c>
      <c r="B84">
        <v>10.61369</v>
      </c>
      <c r="C84" s="5">
        <f t="shared" si="10"/>
        <v>0.35971318258702256</v>
      </c>
      <c r="F84" s="1">
        <v>42489</v>
      </c>
      <c r="G84">
        <v>155.783646</v>
      </c>
      <c r="H84" s="5">
        <f t="shared" si="11"/>
        <v>0.1475718170114145</v>
      </c>
      <c r="K84" s="1">
        <v>42489</v>
      </c>
      <c r="L84">
        <v>110.609909</v>
      </c>
      <c r="M84" s="5">
        <f t="shared" si="12"/>
        <v>-1.233281323831215</v>
      </c>
      <c r="P84" s="1">
        <v>42489</v>
      </c>
      <c r="Q84">
        <v>94.220000999999996</v>
      </c>
      <c r="R84" s="5">
        <f t="shared" si="13"/>
        <v>0.61939556406871943</v>
      </c>
      <c r="U84" s="1">
        <v>42489</v>
      </c>
      <c r="V84">
        <v>3.55</v>
      </c>
      <c r="W84" s="5">
        <f t="shared" si="14"/>
        <v>-1.6620498614958463</v>
      </c>
      <c r="Z84" s="1">
        <v>42489</v>
      </c>
      <c r="AA84">
        <v>34.260241999999998</v>
      </c>
      <c r="AB84" s="5">
        <f t="shared" si="15"/>
        <v>1.6814056176769299</v>
      </c>
      <c r="AE84" s="1">
        <v>42489</v>
      </c>
      <c r="AF84">
        <v>243.151917</v>
      </c>
      <c r="AG84" s="5">
        <f t="shared" si="16"/>
        <v>-0.96640871826946806</v>
      </c>
      <c r="AJ84" s="1">
        <v>42489</v>
      </c>
      <c r="AK84">
        <v>58.210628999999997</v>
      </c>
      <c r="AL84" s="5">
        <f t="shared" si="17"/>
        <v>-0.32679990928313501</v>
      </c>
      <c r="AO84" s="1">
        <v>42489</v>
      </c>
      <c r="AP84">
        <v>37.730212999999999</v>
      </c>
      <c r="AQ84" s="5">
        <f t="shared" si="18"/>
        <v>-3.7604996243033177</v>
      </c>
      <c r="AT84" s="1">
        <v>42489</v>
      </c>
      <c r="AU84">
        <v>161.23228499999999</v>
      </c>
      <c r="AV84" s="5">
        <f t="shared" si="19"/>
        <v>0.22752625236443663</v>
      </c>
    </row>
    <row r="85" spans="1:48" x14ac:dyDescent="0.2">
      <c r="A85" s="1">
        <v>42492</v>
      </c>
      <c r="B85">
        <v>10.746836999999999</v>
      </c>
      <c r="C85" s="5">
        <f t="shared" si="10"/>
        <v>1.2544835961856737</v>
      </c>
      <c r="F85" s="1">
        <v>42492</v>
      </c>
      <c r="G85">
        <v>155.14494300000001</v>
      </c>
      <c r="H85" s="5">
        <f t="shared" si="11"/>
        <v>-0.40999361383542943</v>
      </c>
      <c r="K85" s="1">
        <v>42492</v>
      </c>
      <c r="L85">
        <v>112.059639</v>
      </c>
      <c r="M85" s="5">
        <f t="shared" si="12"/>
        <v>1.3106691914916975</v>
      </c>
      <c r="P85" s="1">
        <v>42492</v>
      </c>
      <c r="Q85">
        <v>94.900002000000001</v>
      </c>
      <c r="R85" s="5">
        <f t="shared" si="13"/>
        <v>0.72171618847680152</v>
      </c>
      <c r="U85" s="1">
        <v>42492</v>
      </c>
      <c r="V85">
        <v>3.74</v>
      </c>
      <c r="W85" s="5">
        <f t="shared" si="14"/>
        <v>5.3521126760563495</v>
      </c>
      <c r="Z85" s="1">
        <v>42492</v>
      </c>
      <c r="AA85">
        <v>34.369576000000002</v>
      </c>
      <c r="AB85" s="5">
        <f t="shared" si="15"/>
        <v>0.31912792676713736</v>
      </c>
      <c r="AE85" s="1">
        <v>42492</v>
      </c>
      <c r="AF85">
        <v>244.44798299999999</v>
      </c>
      <c r="AG85" s="5">
        <f t="shared" si="16"/>
        <v>0.53302725966170206</v>
      </c>
      <c r="AJ85" s="1">
        <v>42492</v>
      </c>
      <c r="AK85">
        <v>58.630512000000003</v>
      </c>
      <c r="AL85" s="5">
        <f t="shared" si="17"/>
        <v>0.72131672035360717</v>
      </c>
      <c r="AO85" s="1">
        <v>42492</v>
      </c>
      <c r="AP85">
        <v>37.681713000000002</v>
      </c>
      <c r="AQ85" s="5">
        <f t="shared" si="18"/>
        <v>-0.12854419878307366</v>
      </c>
      <c r="AT85" s="1">
        <v>42492</v>
      </c>
      <c r="AU85">
        <v>162.15701300000001</v>
      </c>
      <c r="AV85" s="5">
        <f t="shared" si="19"/>
        <v>0.57353773780481754</v>
      </c>
    </row>
    <row r="86" spans="1:48" x14ac:dyDescent="0.2">
      <c r="A86" s="1">
        <v>42493</v>
      </c>
      <c r="B86">
        <v>10.585159000000001</v>
      </c>
      <c r="C86" s="5">
        <f t="shared" si="10"/>
        <v>-1.5044240458843698</v>
      </c>
      <c r="F86" s="1">
        <v>42493</v>
      </c>
      <c r="G86">
        <v>155.693817</v>
      </c>
      <c r="H86" s="5">
        <f t="shared" si="11"/>
        <v>0.35378143134190559</v>
      </c>
      <c r="K86" s="1">
        <v>42493</v>
      </c>
      <c r="L86">
        <v>110.98214</v>
      </c>
      <c r="M86" s="5">
        <f t="shared" si="12"/>
        <v>-0.96154066675157057</v>
      </c>
      <c r="P86" s="1">
        <v>42493</v>
      </c>
      <c r="Q86">
        <v>93.660004000000001</v>
      </c>
      <c r="R86" s="5">
        <f t="shared" si="13"/>
        <v>-1.3066364318938581</v>
      </c>
      <c r="U86" s="1">
        <v>42493</v>
      </c>
      <c r="V86">
        <v>3.6</v>
      </c>
      <c r="W86" s="5">
        <f t="shared" si="14"/>
        <v>-3.7433155080213933</v>
      </c>
      <c r="Z86" s="1">
        <v>42493</v>
      </c>
      <c r="AA86">
        <v>33.902434999999997</v>
      </c>
      <c r="AB86" s="5">
        <f t="shared" si="15"/>
        <v>-1.3591700985778967</v>
      </c>
      <c r="AE86" s="1">
        <v>42493</v>
      </c>
      <c r="AF86">
        <v>241.566711</v>
      </c>
      <c r="AG86" s="5">
        <f t="shared" si="16"/>
        <v>-1.1786851192795467</v>
      </c>
      <c r="AJ86" s="1">
        <v>42493</v>
      </c>
      <c r="AK86">
        <v>58.945419000000001</v>
      </c>
      <c r="AL86" s="5">
        <f t="shared" si="17"/>
        <v>0.53710429818521455</v>
      </c>
      <c r="AO86" s="1">
        <v>42493</v>
      </c>
      <c r="AP86">
        <v>37.390732</v>
      </c>
      <c r="AQ86" s="5">
        <f t="shared" si="18"/>
        <v>-0.77220746307367216</v>
      </c>
      <c r="AT86" s="1">
        <v>42493</v>
      </c>
      <c r="AU86">
        <v>161.80062899999999</v>
      </c>
      <c r="AV86" s="5">
        <f t="shared" si="19"/>
        <v>-0.2197771119526109</v>
      </c>
    </row>
    <row r="87" spans="1:48" x14ac:dyDescent="0.2">
      <c r="A87" s="1">
        <v>42494</v>
      </c>
      <c r="B87">
        <v>10.61369</v>
      </c>
      <c r="C87" s="5">
        <f t="shared" si="10"/>
        <v>0.26953775564447535</v>
      </c>
      <c r="F87" s="1">
        <v>42494</v>
      </c>
      <c r="G87">
        <v>155.52413899999999</v>
      </c>
      <c r="H87" s="5">
        <f t="shared" si="11"/>
        <v>-0.1089818486497795</v>
      </c>
      <c r="K87" s="1">
        <v>42494</v>
      </c>
      <c r="L87">
        <v>111.227028</v>
      </c>
      <c r="M87" s="5">
        <f t="shared" si="12"/>
        <v>0.22065532346015596</v>
      </c>
      <c r="P87" s="1">
        <v>42494</v>
      </c>
      <c r="Q87">
        <v>92.940002000000007</v>
      </c>
      <c r="R87" s="5">
        <f t="shared" si="13"/>
        <v>-0.76874009102112983</v>
      </c>
      <c r="U87" s="1">
        <v>42494</v>
      </c>
      <c r="V87">
        <v>3.6</v>
      </c>
      <c r="W87" s="5">
        <f t="shared" si="14"/>
        <v>0</v>
      </c>
      <c r="Z87" s="1">
        <v>42494</v>
      </c>
      <c r="AA87">
        <v>34.071396</v>
      </c>
      <c r="AB87" s="5">
        <f t="shared" si="15"/>
        <v>0.49837423182141055</v>
      </c>
      <c r="AE87" s="1">
        <v>42494</v>
      </c>
      <c r="AF87">
        <v>241.447067</v>
      </c>
      <c r="AG87" s="5">
        <f t="shared" si="16"/>
        <v>-4.9528347471681999E-2</v>
      </c>
      <c r="AJ87" s="1">
        <v>42494</v>
      </c>
      <c r="AK87">
        <v>58.649593000000003</v>
      </c>
      <c r="AL87" s="5">
        <f t="shared" si="17"/>
        <v>-0.50186427549187185</v>
      </c>
      <c r="AO87" s="1">
        <v>42494</v>
      </c>
      <c r="AP87">
        <v>36.954265999999997</v>
      </c>
      <c r="AQ87" s="5">
        <f t="shared" si="18"/>
        <v>-1.1673106586947879</v>
      </c>
      <c r="AT87" s="1">
        <v>42494</v>
      </c>
      <c r="AU87">
        <v>161.020386</v>
      </c>
      <c r="AV87" s="5">
        <f t="shared" si="19"/>
        <v>-0.48222494858161807</v>
      </c>
    </row>
    <row r="88" spans="1:48" x14ac:dyDescent="0.2">
      <c r="A88" s="1">
        <v>42495</v>
      </c>
      <c r="B88">
        <v>10.528095</v>
      </c>
      <c r="C88" s="5">
        <f t="shared" si="10"/>
        <v>-0.80645845130204141</v>
      </c>
      <c r="F88" s="1">
        <v>42495</v>
      </c>
      <c r="G88">
        <v>148.43855300000001</v>
      </c>
      <c r="H88" s="5">
        <f t="shared" si="11"/>
        <v>-4.5559397052826496</v>
      </c>
      <c r="K88" s="1">
        <v>42495</v>
      </c>
      <c r="L88">
        <v>111.746185</v>
      </c>
      <c r="M88" s="5">
        <f t="shared" si="12"/>
        <v>0.46675435758293637</v>
      </c>
      <c r="P88" s="1">
        <v>42495</v>
      </c>
      <c r="Q88">
        <v>93.5</v>
      </c>
      <c r="R88" s="5">
        <f t="shared" si="13"/>
        <v>0.60253710775688718</v>
      </c>
      <c r="U88" s="1">
        <v>42495</v>
      </c>
      <c r="V88">
        <v>3.66</v>
      </c>
      <c r="W88" s="5">
        <f t="shared" si="14"/>
        <v>1.6666666666666681</v>
      </c>
      <c r="Z88" s="1">
        <v>42495</v>
      </c>
      <c r="AA88">
        <v>34.697563000000002</v>
      </c>
      <c r="AB88" s="5">
        <f t="shared" si="15"/>
        <v>1.8378084654940534</v>
      </c>
      <c r="AE88" s="1">
        <v>42495</v>
      </c>
      <c r="AF88">
        <v>243.211716</v>
      </c>
      <c r="AG88" s="5">
        <f t="shared" si="16"/>
        <v>0.73086371349459855</v>
      </c>
      <c r="AJ88" s="1">
        <v>42495</v>
      </c>
      <c r="AK88">
        <v>59.489356999999998</v>
      </c>
      <c r="AL88" s="5">
        <f t="shared" si="17"/>
        <v>1.4318326130583638</v>
      </c>
      <c r="AO88" s="1">
        <v>42495</v>
      </c>
      <c r="AP88">
        <v>37.342236</v>
      </c>
      <c r="AQ88" s="5">
        <f t="shared" si="18"/>
        <v>1.0498652577756593</v>
      </c>
      <c r="AT88" s="1">
        <v>42495</v>
      </c>
      <c r="AU88">
        <v>161.60797099999999</v>
      </c>
      <c r="AV88" s="5">
        <f t="shared" si="19"/>
        <v>0.36491342158376766</v>
      </c>
    </row>
    <row r="89" spans="1:48" x14ac:dyDescent="0.2">
      <c r="A89" s="1">
        <v>42496</v>
      </c>
      <c r="B89">
        <v>10.537604999999999</v>
      </c>
      <c r="C89" s="5">
        <f t="shared" si="10"/>
        <v>9.0329732017034384E-2</v>
      </c>
      <c r="F89" s="1">
        <v>42496</v>
      </c>
      <c r="G89">
        <v>150.214935</v>
      </c>
      <c r="H89" s="5">
        <f t="shared" si="11"/>
        <v>1.1967120159140758</v>
      </c>
      <c r="K89" s="1">
        <v>42496</v>
      </c>
      <c r="L89">
        <v>113.186111</v>
      </c>
      <c r="M89" s="5">
        <f t="shared" si="12"/>
        <v>1.2885683748398209</v>
      </c>
      <c r="P89" s="1">
        <v>42496</v>
      </c>
      <c r="Q89">
        <v>94.300003000000004</v>
      </c>
      <c r="R89" s="5">
        <f t="shared" si="13"/>
        <v>0.85561818181818583</v>
      </c>
      <c r="U89" s="1">
        <v>42496</v>
      </c>
      <c r="V89">
        <v>3.68</v>
      </c>
      <c r="W89" s="5">
        <f t="shared" si="14"/>
        <v>0.54644808743169437</v>
      </c>
      <c r="Z89" s="1">
        <v>42496</v>
      </c>
      <c r="AA89">
        <v>37.639552999999999</v>
      </c>
      <c r="AB89" s="5">
        <f t="shared" si="15"/>
        <v>8.478952830203081</v>
      </c>
      <c r="AE89" s="1">
        <v>42496</v>
      </c>
      <c r="AF89">
        <v>244.766998</v>
      </c>
      <c r="AG89" s="5">
        <f t="shared" si="16"/>
        <v>0.63947659495153819</v>
      </c>
      <c r="AJ89" s="1">
        <v>42496</v>
      </c>
      <c r="AK89">
        <v>59.651581</v>
      </c>
      <c r="AL89" s="5">
        <f t="shared" si="17"/>
        <v>0.27269415603198055</v>
      </c>
      <c r="AO89" s="1">
        <v>42496</v>
      </c>
      <c r="AP89">
        <v>36.828178000000001</v>
      </c>
      <c r="AQ89" s="5">
        <f t="shared" si="18"/>
        <v>-1.3766127984408822</v>
      </c>
      <c r="AT89" s="1">
        <v>42496</v>
      </c>
      <c r="AU89">
        <v>162.68682899999999</v>
      </c>
      <c r="AV89" s="5">
        <f t="shared" si="19"/>
        <v>0.66757721993799235</v>
      </c>
    </row>
    <row r="90" spans="1:48" x14ac:dyDescent="0.2">
      <c r="A90" s="1">
        <v>42499</v>
      </c>
      <c r="B90">
        <v>10.61369</v>
      </c>
      <c r="C90" s="5">
        <f t="shared" si="10"/>
        <v>0.72203313751085618</v>
      </c>
      <c r="F90" s="1">
        <v>42499</v>
      </c>
      <c r="G90">
        <v>151.22288499999999</v>
      </c>
      <c r="H90" s="5">
        <f t="shared" si="11"/>
        <v>0.67100518333945558</v>
      </c>
      <c r="K90" s="1">
        <v>42499</v>
      </c>
      <c r="L90">
        <v>113.10775</v>
      </c>
      <c r="M90" s="5">
        <f t="shared" si="12"/>
        <v>-6.9231992607291723E-2</v>
      </c>
      <c r="P90" s="1">
        <v>42499</v>
      </c>
      <c r="Q90">
        <v>94.610000999999997</v>
      </c>
      <c r="R90" s="5">
        <f t="shared" si="13"/>
        <v>0.32873593864041883</v>
      </c>
      <c r="U90" s="1">
        <v>42499</v>
      </c>
      <c r="V90">
        <v>3.65</v>
      </c>
      <c r="W90" s="5">
        <f t="shared" si="14"/>
        <v>-0.81521739130435456</v>
      </c>
      <c r="Z90" s="1">
        <v>42499</v>
      </c>
      <c r="AA90">
        <v>36.923935</v>
      </c>
      <c r="AB90" s="5">
        <f t="shared" si="15"/>
        <v>-1.9012393691285312</v>
      </c>
      <c r="AE90" s="1">
        <v>42499</v>
      </c>
      <c r="AF90">
        <v>248.05703700000001</v>
      </c>
      <c r="AG90" s="5">
        <f t="shared" si="16"/>
        <v>1.3441513875984241</v>
      </c>
      <c r="AJ90" s="1">
        <v>42499</v>
      </c>
      <c r="AK90">
        <v>60.787166999999997</v>
      </c>
      <c r="AL90" s="5">
        <f t="shared" si="17"/>
        <v>1.9036980763342994</v>
      </c>
      <c r="AO90" s="1">
        <v>42499</v>
      </c>
      <c r="AP90">
        <v>36.837874999999997</v>
      </c>
      <c r="AQ90" s="5">
        <f t="shared" si="18"/>
        <v>2.6330382132929916E-2</v>
      </c>
      <c r="AT90" s="1">
        <v>42499</v>
      </c>
      <c r="AU90">
        <v>162.33041399999999</v>
      </c>
      <c r="AV90" s="5">
        <f t="shared" si="19"/>
        <v>-0.21908042721761967</v>
      </c>
    </row>
    <row r="91" spans="1:48" x14ac:dyDescent="0.2">
      <c r="A91" s="1">
        <v>42500</v>
      </c>
      <c r="B91">
        <v>10.889493999999999</v>
      </c>
      <c r="C91" s="5">
        <f t="shared" si="10"/>
        <v>2.5985684526305088</v>
      </c>
      <c r="F91" s="1">
        <v>42500</v>
      </c>
      <c r="G91">
        <v>151.98135400000001</v>
      </c>
      <c r="H91" s="5">
        <f t="shared" si="11"/>
        <v>0.50155702293341342</v>
      </c>
      <c r="K91" s="1">
        <v>42500</v>
      </c>
      <c r="L91">
        <v>114.547684</v>
      </c>
      <c r="M91" s="5">
        <f t="shared" si="12"/>
        <v>1.2730639589241304</v>
      </c>
      <c r="P91" s="1">
        <v>42500</v>
      </c>
      <c r="Q91">
        <v>96.519997000000004</v>
      </c>
      <c r="R91" s="5">
        <f t="shared" si="13"/>
        <v>2.0188098296289065</v>
      </c>
      <c r="U91" s="1">
        <v>42500</v>
      </c>
      <c r="V91">
        <v>3.64</v>
      </c>
      <c r="W91" s="5">
        <f t="shared" si="14"/>
        <v>-0.27397260273972018</v>
      </c>
      <c r="Z91" s="1">
        <v>42500</v>
      </c>
      <c r="AA91">
        <v>36.188437999999998</v>
      </c>
      <c r="AB91" s="5">
        <f t="shared" si="15"/>
        <v>-1.9919247501654476</v>
      </c>
      <c r="AE91" s="1">
        <v>42500</v>
      </c>
      <c r="AF91">
        <v>251.596283</v>
      </c>
      <c r="AG91" s="5">
        <f t="shared" si="16"/>
        <v>1.4267871787890425</v>
      </c>
      <c r="AJ91" s="1">
        <v>42500</v>
      </c>
      <c r="AK91">
        <v>60.825336</v>
      </c>
      <c r="AL91" s="5">
        <f t="shared" si="17"/>
        <v>6.2791213809986327E-2</v>
      </c>
      <c r="AO91" s="1">
        <v>42500</v>
      </c>
      <c r="AP91">
        <v>36.954265999999997</v>
      </c>
      <c r="AQ91" s="5">
        <f t="shared" si="18"/>
        <v>0.31595470694224398</v>
      </c>
      <c r="AT91" s="1">
        <v>42500</v>
      </c>
      <c r="AU91">
        <v>164.00649999999999</v>
      </c>
      <c r="AV91" s="5">
        <f t="shared" si="19"/>
        <v>1.0325150775504077</v>
      </c>
    </row>
    <row r="92" spans="1:48" x14ac:dyDescent="0.2">
      <c r="A92" s="1">
        <v>42501</v>
      </c>
      <c r="B92">
        <v>10.765858</v>
      </c>
      <c r="C92" s="5">
        <f t="shared" si="10"/>
        <v>-1.1353695589528716</v>
      </c>
      <c r="F92" s="1">
        <v>42501</v>
      </c>
      <c r="G92">
        <v>147.82978800000001</v>
      </c>
      <c r="H92" s="5">
        <f t="shared" si="11"/>
        <v>-2.7316285127976965</v>
      </c>
      <c r="K92" s="1">
        <v>42501</v>
      </c>
      <c r="L92">
        <v>113.607315</v>
      </c>
      <c r="M92" s="5">
        <f t="shared" si="12"/>
        <v>-0.82094108511177233</v>
      </c>
      <c r="P92" s="1">
        <v>42501</v>
      </c>
      <c r="Q92">
        <v>96.099997999999999</v>
      </c>
      <c r="R92" s="5">
        <f t="shared" si="13"/>
        <v>-0.43514195301933567</v>
      </c>
      <c r="U92" s="1">
        <v>42501</v>
      </c>
      <c r="V92">
        <v>3.65</v>
      </c>
      <c r="W92" s="5">
        <f t="shared" si="14"/>
        <v>0.27472527472526886</v>
      </c>
      <c r="Z92" s="1">
        <v>42501</v>
      </c>
      <c r="AA92">
        <v>36.884177999999999</v>
      </c>
      <c r="AB92" s="5">
        <f t="shared" si="15"/>
        <v>1.9225477485378086</v>
      </c>
      <c r="AE92" s="1">
        <v>42501</v>
      </c>
      <c r="AF92">
        <v>251.16757200000001</v>
      </c>
      <c r="AG92" s="5">
        <f t="shared" si="16"/>
        <v>-0.17039639651591859</v>
      </c>
      <c r="AJ92" s="1">
        <v>42501</v>
      </c>
      <c r="AK92">
        <v>59.832897000000003</v>
      </c>
      <c r="AL92" s="5">
        <f t="shared" si="17"/>
        <v>-1.631621073165954</v>
      </c>
      <c r="AO92" s="1">
        <v>42501</v>
      </c>
      <c r="AP92">
        <v>36.866978000000003</v>
      </c>
      <c r="AQ92" s="5">
        <f t="shared" si="18"/>
        <v>-0.2362054762500054</v>
      </c>
      <c r="AT92" s="1">
        <v>42501</v>
      </c>
      <c r="AU92">
        <v>163.53450000000001</v>
      </c>
      <c r="AV92" s="5">
        <f t="shared" si="19"/>
        <v>-0.28779347160019875</v>
      </c>
    </row>
    <row r="93" spans="1:48" x14ac:dyDescent="0.2">
      <c r="A93" s="1">
        <v>42502</v>
      </c>
      <c r="B93">
        <v>10.718306999999999</v>
      </c>
      <c r="C93" s="5">
        <f t="shared" si="10"/>
        <v>-0.44168332890885564</v>
      </c>
      <c r="F93" s="1">
        <v>42502</v>
      </c>
      <c r="G93">
        <v>149.695999</v>
      </c>
      <c r="H93" s="5">
        <f t="shared" si="11"/>
        <v>1.2624052467693403</v>
      </c>
      <c r="K93" s="1">
        <v>42502</v>
      </c>
      <c r="L93">
        <v>113.97953800000001</v>
      </c>
      <c r="M93" s="5">
        <f t="shared" si="12"/>
        <v>0.32763999395637977</v>
      </c>
      <c r="P93" s="1">
        <v>42502</v>
      </c>
      <c r="Q93">
        <v>95.959998999999996</v>
      </c>
      <c r="R93" s="5">
        <f t="shared" si="13"/>
        <v>-0.14568054413487405</v>
      </c>
      <c r="U93" s="1">
        <v>42502</v>
      </c>
      <c r="V93">
        <v>3.59</v>
      </c>
      <c r="W93" s="5">
        <f t="shared" si="14"/>
        <v>-1.6438356164383578</v>
      </c>
      <c r="Z93" s="1">
        <v>42502</v>
      </c>
      <c r="AA93">
        <v>37.679310000000001</v>
      </c>
      <c r="AB93" s="5">
        <f t="shared" si="15"/>
        <v>2.155753613378621</v>
      </c>
      <c r="AE93" s="1">
        <v>42502</v>
      </c>
      <c r="AF93">
        <v>251.287216</v>
      </c>
      <c r="AG93" s="5">
        <f t="shared" si="16"/>
        <v>4.7635130222938915E-2</v>
      </c>
      <c r="AJ93" s="1">
        <v>42502</v>
      </c>
      <c r="AK93">
        <v>59.6325</v>
      </c>
      <c r="AL93" s="5">
        <f t="shared" si="17"/>
        <v>-0.33492779064333517</v>
      </c>
      <c r="AO93" s="1">
        <v>42502</v>
      </c>
      <c r="AP93">
        <v>36.857272999999999</v>
      </c>
      <c r="AQ93" s="5">
        <f t="shared" si="18"/>
        <v>-2.6324370823135677E-2</v>
      </c>
      <c r="AT93" s="1">
        <v>42502</v>
      </c>
      <c r="AU93">
        <v>163.900543</v>
      </c>
      <c r="AV93" s="5">
        <f t="shared" si="19"/>
        <v>0.22383228003876282</v>
      </c>
    </row>
    <row r="94" spans="1:48" x14ac:dyDescent="0.2">
      <c r="A94" s="1">
        <v>42503</v>
      </c>
      <c r="B94">
        <v>10.61369</v>
      </c>
      <c r="C94" s="5">
        <f t="shared" si="10"/>
        <v>-0.97605899886987102</v>
      </c>
      <c r="F94" s="1">
        <v>42503</v>
      </c>
      <c r="G94">
        <v>145.26496900000001</v>
      </c>
      <c r="H94" s="5">
        <f t="shared" si="11"/>
        <v>-2.9600189915563426</v>
      </c>
      <c r="K94" s="1">
        <v>42503</v>
      </c>
      <c r="L94">
        <v>113.078369</v>
      </c>
      <c r="M94" s="5">
        <f t="shared" si="12"/>
        <v>-0.79064103593752943</v>
      </c>
      <c r="P94" s="1">
        <v>42503</v>
      </c>
      <c r="Q94">
        <v>95.970000999999996</v>
      </c>
      <c r="R94" s="5">
        <f t="shared" si="13"/>
        <v>1.0423093064017296E-2</v>
      </c>
      <c r="U94" s="1">
        <v>42503</v>
      </c>
      <c r="V94">
        <v>3.67</v>
      </c>
      <c r="W94" s="5">
        <f t="shared" si="14"/>
        <v>2.2284122562674114</v>
      </c>
      <c r="Z94" s="1">
        <v>42503</v>
      </c>
      <c r="AA94">
        <v>38.056998999999998</v>
      </c>
      <c r="AB94" s="5">
        <f t="shared" si="15"/>
        <v>1.0023776974684424</v>
      </c>
      <c r="AE94" s="1">
        <v>42503</v>
      </c>
      <c r="AF94">
        <v>246.59144599999999</v>
      </c>
      <c r="AG94" s="5">
        <f t="shared" si="16"/>
        <v>-1.8686863879299016</v>
      </c>
      <c r="AJ94" s="1">
        <v>42503</v>
      </c>
      <c r="AK94">
        <v>59.164901999999998</v>
      </c>
      <c r="AL94" s="5">
        <f t="shared" si="17"/>
        <v>-0.78413281348258479</v>
      </c>
      <c r="AO94" s="1">
        <v>42503</v>
      </c>
      <c r="AP94">
        <v>36.469307000000001</v>
      </c>
      <c r="AQ94" s="5">
        <f t="shared" si="18"/>
        <v>-1.0526172134330141</v>
      </c>
      <c r="AT94" s="1">
        <v>42503</v>
      </c>
      <c r="AU94">
        <v>162.13777200000001</v>
      </c>
      <c r="AV94" s="5">
        <f t="shared" si="19"/>
        <v>-1.0755126052266872</v>
      </c>
    </row>
    <row r="95" spans="1:48" x14ac:dyDescent="0.2">
      <c r="A95" s="1">
        <v>42506</v>
      </c>
      <c r="B95">
        <v>10.566138</v>
      </c>
      <c r="C95" s="5">
        <f t="shared" si="10"/>
        <v>-0.44802514488363232</v>
      </c>
      <c r="F95" s="1">
        <v>42506</v>
      </c>
      <c r="G95">
        <v>147.83976699999999</v>
      </c>
      <c r="H95" s="5">
        <f t="shared" si="11"/>
        <v>1.7724837706742547</v>
      </c>
      <c r="K95" s="1">
        <v>42506</v>
      </c>
      <c r="L95">
        <v>114.75338000000001</v>
      </c>
      <c r="M95" s="5">
        <f t="shared" si="12"/>
        <v>1.4812833036175221</v>
      </c>
      <c r="P95" s="1">
        <v>42506</v>
      </c>
      <c r="Q95">
        <v>97.230002999999996</v>
      </c>
      <c r="R95" s="5">
        <f t="shared" si="13"/>
        <v>1.3129123547680281</v>
      </c>
      <c r="U95" s="1">
        <v>42506</v>
      </c>
      <c r="V95">
        <v>3.79</v>
      </c>
      <c r="W95" s="5">
        <f t="shared" si="14"/>
        <v>3.2697547683923736</v>
      </c>
      <c r="Z95" s="1">
        <v>42506</v>
      </c>
      <c r="AA95">
        <v>39.150303000000001</v>
      </c>
      <c r="AB95" s="5">
        <f t="shared" si="15"/>
        <v>2.8728066550912317</v>
      </c>
      <c r="AE95" s="1">
        <v>42506</v>
      </c>
      <c r="AF95">
        <v>250.75881999999999</v>
      </c>
      <c r="AG95" s="5">
        <f t="shared" si="16"/>
        <v>1.6899913065110925</v>
      </c>
      <c r="AJ95" s="1">
        <v>42506</v>
      </c>
      <c r="AK95">
        <v>59.594329999999999</v>
      </c>
      <c r="AL95" s="5">
        <f t="shared" si="17"/>
        <v>0.72581545051828444</v>
      </c>
      <c r="AO95" s="1">
        <v>42506</v>
      </c>
      <c r="AP95">
        <v>37.099758000000001</v>
      </c>
      <c r="AQ95" s="5">
        <f t="shared" si="18"/>
        <v>1.728716698674863</v>
      </c>
      <c r="AT95" s="1">
        <v>42506</v>
      </c>
      <c r="AU95">
        <v>163.32261700000001</v>
      </c>
      <c r="AV95" s="5">
        <f t="shared" si="19"/>
        <v>0.73076432800618207</v>
      </c>
    </row>
    <row r="96" spans="1:48" x14ac:dyDescent="0.2">
      <c r="A96" s="1">
        <v>42507</v>
      </c>
      <c r="B96">
        <v>10.480544999999999</v>
      </c>
      <c r="C96" s="5">
        <f t="shared" si="10"/>
        <v>-0.81006892016743626</v>
      </c>
      <c r="F96" s="1">
        <v>42507</v>
      </c>
      <c r="G96">
        <v>143.787994</v>
      </c>
      <c r="H96" s="5">
        <f t="shared" si="11"/>
        <v>-2.7406516407726733</v>
      </c>
      <c r="K96" s="1">
        <v>42507</v>
      </c>
      <c r="L96">
        <v>113.84240699999999</v>
      </c>
      <c r="M96" s="5">
        <f t="shared" si="12"/>
        <v>-0.79385286951897427</v>
      </c>
      <c r="P96" s="1">
        <v>42507</v>
      </c>
      <c r="Q96">
        <v>95.93</v>
      </c>
      <c r="R96" s="5">
        <f t="shared" si="13"/>
        <v>-1.337038938484852</v>
      </c>
      <c r="U96" s="1">
        <v>42507</v>
      </c>
      <c r="V96">
        <v>3.79</v>
      </c>
      <c r="W96" s="5">
        <f t="shared" si="14"/>
        <v>0</v>
      </c>
      <c r="Z96" s="1">
        <v>42507</v>
      </c>
      <c r="AA96">
        <v>37.888030999999998</v>
      </c>
      <c r="AB96" s="5">
        <f t="shared" si="15"/>
        <v>-3.2241691718196992</v>
      </c>
      <c r="AE96" s="1">
        <v>42507</v>
      </c>
      <c r="AF96">
        <v>246.870621</v>
      </c>
      <c r="AG96" s="5">
        <f t="shared" si="16"/>
        <v>-1.5505731762495876</v>
      </c>
      <c r="AJ96" s="1">
        <v>42507</v>
      </c>
      <c r="AK96">
        <v>57.494926</v>
      </c>
      <c r="AL96" s="5">
        <f t="shared" si="17"/>
        <v>-3.5228250741303744</v>
      </c>
      <c r="AO96" s="1">
        <v>42507</v>
      </c>
      <c r="AP96">
        <v>36.575992999999997</v>
      </c>
      <c r="AQ96" s="5">
        <f t="shared" si="18"/>
        <v>-1.4117747075331448</v>
      </c>
      <c r="AT96" s="1">
        <v>42507</v>
      </c>
      <c r="AU96">
        <v>161.6465</v>
      </c>
      <c r="AV96" s="5">
        <f t="shared" si="19"/>
        <v>-1.0262614148535256</v>
      </c>
    </row>
    <row r="97" spans="1:48" x14ac:dyDescent="0.2">
      <c r="A97" s="1">
        <v>42508</v>
      </c>
      <c r="B97">
        <v>10.204739</v>
      </c>
      <c r="C97" s="5">
        <f t="shared" si="10"/>
        <v>-2.6315997879881188</v>
      </c>
      <c r="F97" s="1">
        <v>42508</v>
      </c>
      <c r="G97">
        <v>143.518539</v>
      </c>
      <c r="H97" s="5">
        <f t="shared" si="11"/>
        <v>-0.1873974262412991</v>
      </c>
      <c r="K97" s="1">
        <v>42508</v>
      </c>
      <c r="L97">
        <v>114.136261</v>
      </c>
      <c r="M97" s="5">
        <f t="shared" si="12"/>
        <v>0.2581234952279341</v>
      </c>
      <c r="P97" s="1">
        <v>42508</v>
      </c>
      <c r="Q97">
        <v>96.699996999999996</v>
      </c>
      <c r="R97" s="5">
        <f t="shared" si="13"/>
        <v>0.8026654852496502</v>
      </c>
      <c r="U97" s="1">
        <v>42508</v>
      </c>
      <c r="V97">
        <v>3.84</v>
      </c>
      <c r="W97" s="5">
        <f t="shared" si="14"/>
        <v>1.3192612137203119</v>
      </c>
      <c r="Z97" s="1">
        <v>42508</v>
      </c>
      <c r="AA97">
        <v>38.235905000000002</v>
      </c>
      <c r="AB97" s="5">
        <f t="shared" si="15"/>
        <v>0.91816331125785988</v>
      </c>
      <c r="AE97" s="1">
        <v>42508</v>
      </c>
      <c r="AF97">
        <v>247.618347</v>
      </c>
      <c r="AG97" s="5">
        <f t="shared" si="16"/>
        <v>0.30288172686210407</v>
      </c>
      <c r="AJ97" s="1">
        <v>42508</v>
      </c>
      <c r="AK97">
        <v>57.695323999999999</v>
      </c>
      <c r="AL97" s="5">
        <f t="shared" si="17"/>
        <v>0.34854901804726185</v>
      </c>
      <c r="AO97" s="1">
        <v>42508</v>
      </c>
      <c r="AP97">
        <v>36.614795999999998</v>
      </c>
      <c r="AQ97" s="5">
        <f t="shared" si="18"/>
        <v>0.10608871234200389</v>
      </c>
      <c r="AT97" s="1">
        <v>42508</v>
      </c>
      <c r="AU97">
        <v>161.762878</v>
      </c>
      <c r="AV97" s="5">
        <f t="shared" si="19"/>
        <v>7.1995372618644651E-2</v>
      </c>
    </row>
    <row r="98" spans="1:48" x14ac:dyDescent="0.2">
      <c r="A98" s="1">
        <v>42509</v>
      </c>
      <c r="B98">
        <v>10.21425</v>
      </c>
      <c r="C98" s="5">
        <f t="shared" si="10"/>
        <v>9.3201795753912228E-2</v>
      </c>
      <c r="F98" s="1">
        <v>42509</v>
      </c>
      <c r="G98">
        <v>143.2491</v>
      </c>
      <c r="H98" s="5">
        <f t="shared" si="11"/>
        <v>-0.18773811514344185</v>
      </c>
      <c r="K98" s="1">
        <v>42509</v>
      </c>
      <c r="L98">
        <v>113.656296</v>
      </c>
      <c r="M98" s="5">
        <f t="shared" si="12"/>
        <v>-0.42051929491540557</v>
      </c>
      <c r="P98" s="1">
        <v>42509</v>
      </c>
      <c r="Q98">
        <v>95.879997000000003</v>
      </c>
      <c r="R98" s="5">
        <f t="shared" si="13"/>
        <v>-0.84798348028903592</v>
      </c>
      <c r="U98" s="1">
        <v>42509</v>
      </c>
      <c r="V98">
        <v>3.77</v>
      </c>
      <c r="W98" s="5">
        <f t="shared" si="14"/>
        <v>-1.8229166666666625</v>
      </c>
      <c r="Z98" s="1">
        <v>42509</v>
      </c>
      <c r="AA98">
        <v>37.569977000000002</v>
      </c>
      <c r="AB98" s="5">
        <f t="shared" si="15"/>
        <v>-1.7416300202649864</v>
      </c>
      <c r="AE98" s="1">
        <v>42509</v>
      </c>
      <c r="AF98">
        <v>245.155823</v>
      </c>
      <c r="AG98" s="5">
        <f t="shared" si="16"/>
        <v>-0.99448365996886412</v>
      </c>
      <c r="AJ98" s="1">
        <v>42509</v>
      </c>
      <c r="AK98">
        <v>56.569282999999999</v>
      </c>
      <c r="AL98" s="5">
        <f t="shared" si="17"/>
        <v>-1.9517023597960914</v>
      </c>
      <c r="AO98" s="1">
        <v>42509</v>
      </c>
      <c r="AP98">
        <v>36.120131999999998</v>
      </c>
      <c r="AQ98" s="5">
        <f t="shared" si="18"/>
        <v>-1.3509948273370149</v>
      </c>
      <c r="AT98" s="1">
        <v>42509</v>
      </c>
      <c r="AU98">
        <v>160.104691</v>
      </c>
      <c r="AV98" s="5">
        <f t="shared" si="19"/>
        <v>-1.0250726374935033</v>
      </c>
    </row>
    <row r="99" spans="1:48" x14ac:dyDescent="0.2">
      <c r="A99" s="1">
        <v>42510</v>
      </c>
      <c r="B99">
        <v>10.356908000000001</v>
      </c>
      <c r="C99" s="5">
        <f t="shared" si="10"/>
        <v>1.3966566316665525</v>
      </c>
      <c r="F99" s="1">
        <v>42510</v>
      </c>
      <c r="G99">
        <v>146.093323</v>
      </c>
      <c r="H99" s="5">
        <f t="shared" si="11"/>
        <v>1.9855084604370983</v>
      </c>
      <c r="K99" s="1">
        <v>42510</v>
      </c>
      <c r="L99">
        <v>114.08729599999999</v>
      </c>
      <c r="M99" s="5">
        <f t="shared" si="12"/>
        <v>0.37921348413465572</v>
      </c>
      <c r="P99" s="1">
        <v>42510</v>
      </c>
      <c r="Q99">
        <v>96.879997000000003</v>
      </c>
      <c r="R99" s="5">
        <f t="shared" si="13"/>
        <v>1.0429704122748356</v>
      </c>
      <c r="U99" s="1">
        <v>42510</v>
      </c>
      <c r="V99">
        <v>3.87</v>
      </c>
      <c r="W99" s="5">
        <f t="shared" si="14"/>
        <v>2.6525198938992065</v>
      </c>
      <c r="Z99" s="1">
        <v>42510</v>
      </c>
      <c r="AA99">
        <v>37.30162</v>
      </c>
      <c r="AB99" s="5">
        <f t="shared" si="15"/>
        <v>-0.71428577132214299</v>
      </c>
      <c r="AE99" s="1">
        <v>42510</v>
      </c>
      <c r="AF99">
        <v>250.08085600000001</v>
      </c>
      <c r="AG99" s="5">
        <f t="shared" si="16"/>
        <v>2.0089398406824763</v>
      </c>
      <c r="AJ99" s="1">
        <v>42510</v>
      </c>
      <c r="AK99">
        <v>56.960529000000001</v>
      </c>
      <c r="AL99" s="5">
        <f t="shared" si="17"/>
        <v>0.69162269565976719</v>
      </c>
      <c r="AO99" s="1">
        <v>42510</v>
      </c>
      <c r="AP99">
        <v>36.469307000000001</v>
      </c>
      <c r="AQ99" s="5">
        <f t="shared" si="18"/>
        <v>0.96670466209814088</v>
      </c>
      <c r="AT99" s="1">
        <v>42510</v>
      </c>
      <c r="AU99">
        <v>160.007721</v>
      </c>
      <c r="AV99" s="5">
        <f t="shared" si="19"/>
        <v>-6.0566620124827504E-2</v>
      </c>
    </row>
    <row r="100" spans="1:48" x14ac:dyDescent="0.2">
      <c r="A100" s="1">
        <v>42513</v>
      </c>
      <c r="B100">
        <v>10.21425</v>
      </c>
      <c r="C100" s="5">
        <f t="shared" si="10"/>
        <v>-1.3774188203660864</v>
      </c>
      <c r="F100" s="1">
        <v>42513</v>
      </c>
      <c r="G100">
        <v>145.57437100000001</v>
      </c>
      <c r="H100" s="5">
        <f t="shared" si="11"/>
        <v>-0.35521951951218506</v>
      </c>
      <c r="K100" s="1">
        <v>42513</v>
      </c>
      <c r="L100">
        <v>113.803223</v>
      </c>
      <c r="M100" s="5">
        <f t="shared" si="12"/>
        <v>-0.24899617219431008</v>
      </c>
      <c r="P100" s="1">
        <v>42513</v>
      </c>
      <c r="Q100">
        <v>96.620002999999997</v>
      </c>
      <c r="R100" s="5">
        <f t="shared" si="13"/>
        <v>-0.26836706033342062</v>
      </c>
      <c r="U100" s="1">
        <v>42513</v>
      </c>
      <c r="V100">
        <v>4.04</v>
      </c>
      <c r="W100" s="5">
        <f t="shared" si="14"/>
        <v>4.3927648578811356</v>
      </c>
      <c r="Z100" s="1">
        <v>42513</v>
      </c>
      <c r="AA100">
        <v>37.500404000000003</v>
      </c>
      <c r="AB100" s="5">
        <f t="shared" si="15"/>
        <v>0.53290983072585962</v>
      </c>
      <c r="AE100" s="1">
        <v>42513</v>
      </c>
      <c r="AF100">
        <v>250.180588</v>
      </c>
      <c r="AG100" s="5">
        <f t="shared" si="16"/>
        <v>3.9879901882609051E-2</v>
      </c>
      <c r="AJ100" s="1">
        <v>42513</v>
      </c>
      <c r="AK100">
        <v>56.588366999999998</v>
      </c>
      <c r="AL100" s="5">
        <f t="shared" si="17"/>
        <v>-0.65336822977891063</v>
      </c>
      <c r="AO100" s="1">
        <v>42513</v>
      </c>
      <c r="AP100">
        <v>36.246215999999997</v>
      </c>
      <c r="AQ100" s="5">
        <f t="shared" si="18"/>
        <v>-0.6117226192425419</v>
      </c>
      <c r="AT100" s="1">
        <v>42513</v>
      </c>
      <c r="AU100">
        <v>161.07440199999999</v>
      </c>
      <c r="AV100" s="5">
        <f t="shared" si="19"/>
        <v>0.66664345528675362</v>
      </c>
    </row>
    <row r="101" spans="1:48" x14ac:dyDescent="0.2">
      <c r="A101" s="1">
        <v>42514</v>
      </c>
      <c r="B101">
        <v>10.375928</v>
      </c>
      <c r="C101" s="5">
        <f t="shared" si="10"/>
        <v>1.5828670729617955</v>
      </c>
      <c r="F101" s="1">
        <v>42514</v>
      </c>
      <c r="G101">
        <v>149.03732299999999</v>
      </c>
      <c r="H101" s="5">
        <f t="shared" si="11"/>
        <v>2.3788198267399507</v>
      </c>
      <c r="K101" s="1">
        <v>42514</v>
      </c>
      <c r="L101">
        <v>116.683083</v>
      </c>
      <c r="M101" s="5">
        <f t="shared" si="12"/>
        <v>2.5305610193482777</v>
      </c>
      <c r="P101" s="1">
        <v>42514</v>
      </c>
      <c r="Q101">
        <v>99.629997000000003</v>
      </c>
      <c r="R101" s="5">
        <f t="shared" si="13"/>
        <v>3.1152907333277624</v>
      </c>
      <c r="U101" s="1">
        <v>42514</v>
      </c>
      <c r="V101">
        <v>4.2</v>
      </c>
      <c r="W101" s="5">
        <f t="shared" si="14"/>
        <v>3.9603960396039639</v>
      </c>
      <c r="Z101" s="1">
        <v>42514</v>
      </c>
      <c r="AA101">
        <v>38.782555000000002</v>
      </c>
      <c r="AB101" s="5">
        <f t="shared" si="15"/>
        <v>3.4190324989565415</v>
      </c>
      <c r="AE101" s="1">
        <v>42514</v>
      </c>
      <c r="AF101">
        <v>255.404709</v>
      </c>
      <c r="AG101" s="5">
        <f t="shared" si="16"/>
        <v>2.0881400278745832</v>
      </c>
      <c r="AJ101" s="1">
        <v>42514</v>
      </c>
      <c r="AK101">
        <v>57.924346999999997</v>
      </c>
      <c r="AL101" s="5">
        <f t="shared" si="17"/>
        <v>2.3608739230803382</v>
      </c>
      <c r="AO101" s="1">
        <v>42514</v>
      </c>
      <c r="AP101">
        <v>36.837874999999997</v>
      </c>
      <c r="AQ101" s="5">
        <f t="shared" si="18"/>
        <v>1.6323331516867858</v>
      </c>
      <c r="AT101" s="1">
        <v>42514</v>
      </c>
      <c r="AU101">
        <v>163.51799</v>
      </c>
      <c r="AV101" s="5">
        <f t="shared" si="19"/>
        <v>1.5170554536654468</v>
      </c>
    </row>
    <row r="102" spans="1:48" x14ac:dyDescent="0.2">
      <c r="A102" s="1">
        <v>42515</v>
      </c>
      <c r="B102">
        <v>10.432992</v>
      </c>
      <c r="C102" s="5">
        <f t="shared" si="10"/>
        <v>0.54996526575743832</v>
      </c>
      <c r="F102" s="1">
        <v>42515</v>
      </c>
      <c r="G102">
        <v>153.218842</v>
      </c>
      <c r="H102" s="5">
        <f t="shared" si="11"/>
        <v>2.8056857945576552</v>
      </c>
      <c r="K102" s="1">
        <v>42515</v>
      </c>
      <c r="L102">
        <v>116.124741</v>
      </c>
      <c r="M102" s="5">
        <f t="shared" si="12"/>
        <v>-0.47851152510256878</v>
      </c>
      <c r="P102" s="1">
        <v>42515</v>
      </c>
      <c r="Q102">
        <v>99.610000999999997</v>
      </c>
      <c r="R102" s="5">
        <f t="shared" si="13"/>
        <v>-2.0070260566208909E-2</v>
      </c>
      <c r="U102" s="1">
        <v>42515</v>
      </c>
      <c r="V102">
        <v>4.18</v>
      </c>
      <c r="W102" s="5">
        <f t="shared" si="14"/>
        <v>-0.47619047619048716</v>
      </c>
      <c r="Z102" s="1">
        <v>42515</v>
      </c>
      <c r="AA102">
        <v>38.712981999999997</v>
      </c>
      <c r="AB102" s="5">
        <f t="shared" si="15"/>
        <v>-0.17939251294816816</v>
      </c>
      <c r="AE102" s="1">
        <v>42515</v>
      </c>
      <c r="AF102">
        <v>255.02586400000001</v>
      </c>
      <c r="AG102" s="5">
        <f t="shared" si="16"/>
        <v>-0.14833125101071809</v>
      </c>
      <c r="AJ102" s="1">
        <v>42515</v>
      </c>
      <c r="AK102">
        <v>58.420574000000002</v>
      </c>
      <c r="AL102" s="5">
        <f t="shared" si="17"/>
        <v>0.85668121558626231</v>
      </c>
      <c r="AO102" s="1">
        <v>42515</v>
      </c>
      <c r="AP102">
        <v>37.516826999999999</v>
      </c>
      <c r="AQ102" s="5">
        <f t="shared" si="18"/>
        <v>1.8430813395180978</v>
      </c>
      <c r="AT102" s="1">
        <v>42515</v>
      </c>
      <c r="AU102">
        <v>164.83677700000001</v>
      </c>
      <c r="AV102" s="5">
        <f t="shared" si="19"/>
        <v>0.80650881288353327</v>
      </c>
    </row>
    <row r="103" spans="1:48" x14ac:dyDescent="0.2">
      <c r="A103" s="1">
        <v>42516</v>
      </c>
      <c r="B103">
        <v>10.356908000000001</v>
      </c>
      <c r="C103" s="5">
        <f t="shared" si="10"/>
        <v>-0.72926347494563226</v>
      </c>
      <c r="F103" s="1">
        <v>42516</v>
      </c>
      <c r="G103">
        <v>156.342499</v>
      </c>
      <c r="H103" s="5">
        <f t="shared" si="11"/>
        <v>2.038689862960855</v>
      </c>
      <c r="K103" s="1">
        <v>42516</v>
      </c>
      <c r="L103">
        <v>115.98761</v>
      </c>
      <c r="M103" s="5">
        <f t="shared" si="12"/>
        <v>-0.11808939147601334</v>
      </c>
      <c r="P103" s="1">
        <v>42516</v>
      </c>
      <c r="Q103">
        <v>99.370002999999997</v>
      </c>
      <c r="R103" s="5">
        <f t="shared" si="13"/>
        <v>-0.24093765444295093</v>
      </c>
      <c r="U103" s="1">
        <v>42516</v>
      </c>
      <c r="V103">
        <v>4.3499999999999996</v>
      </c>
      <c r="W103" s="5">
        <f t="shared" si="14"/>
        <v>4.0669856459330127</v>
      </c>
      <c r="Z103" s="1">
        <v>42516</v>
      </c>
      <c r="AA103">
        <v>38.862068000000001</v>
      </c>
      <c r="AB103" s="5">
        <f t="shared" si="15"/>
        <v>0.38510595747959703</v>
      </c>
      <c r="AE103" s="1">
        <v>42516</v>
      </c>
      <c r="AF103">
        <v>254.35789500000001</v>
      </c>
      <c r="AG103" s="5">
        <f t="shared" si="16"/>
        <v>-0.26192206136394047</v>
      </c>
      <c r="AJ103" s="1">
        <v>42516</v>
      </c>
      <c r="AK103">
        <v>59.069485</v>
      </c>
      <c r="AL103" s="5">
        <f t="shared" si="17"/>
        <v>1.1107576587658967</v>
      </c>
      <c r="AO103" s="1">
        <v>42516</v>
      </c>
      <c r="AP103">
        <v>37.720509</v>
      </c>
      <c r="AQ103" s="5">
        <f t="shared" si="18"/>
        <v>0.54290838614896886</v>
      </c>
      <c r="AT103" s="1">
        <v>42516</v>
      </c>
      <c r="AU103">
        <v>163.78952000000001</v>
      </c>
      <c r="AV103" s="5">
        <f t="shared" si="19"/>
        <v>-0.63532969951238594</v>
      </c>
    </row>
    <row r="104" spans="1:48" x14ac:dyDescent="0.2">
      <c r="A104" s="1">
        <v>42517</v>
      </c>
      <c r="B104">
        <v>10.566138</v>
      </c>
      <c r="C104" s="5">
        <f t="shared" si="10"/>
        <v>2.0201975338585587</v>
      </c>
      <c r="F104" s="1">
        <v>42517</v>
      </c>
      <c r="G104">
        <v>155.99321</v>
      </c>
      <c r="H104" s="5">
        <f t="shared" si="11"/>
        <v>-0.22341270111078299</v>
      </c>
      <c r="K104" s="1">
        <v>42517</v>
      </c>
      <c r="L104">
        <v>116.506767</v>
      </c>
      <c r="M104" s="5">
        <f t="shared" si="12"/>
        <v>0.44759694591516525</v>
      </c>
      <c r="P104" s="1">
        <v>42517</v>
      </c>
      <c r="Q104">
        <v>100.139999</v>
      </c>
      <c r="R104" s="5">
        <f t="shared" si="13"/>
        <v>0.77487770630338626</v>
      </c>
      <c r="U104" s="1">
        <v>42517</v>
      </c>
      <c r="V104">
        <v>4.5999999999999996</v>
      </c>
      <c r="W104" s="5">
        <f t="shared" si="14"/>
        <v>5.7471264367816097</v>
      </c>
      <c r="Z104" s="1">
        <v>42517</v>
      </c>
      <c r="AA104">
        <v>39.100608999999999</v>
      </c>
      <c r="AB104" s="5">
        <f t="shared" si="15"/>
        <v>0.61381447842661863</v>
      </c>
      <c r="AE104" s="1">
        <v>42517</v>
      </c>
      <c r="AF104">
        <v>255.43460099999999</v>
      </c>
      <c r="AG104" s="5">
        <f t="shared" si="16"/>
        <v>0.42330355029867384</v>
      </c>
      <c r="AJ104" s="1">
        <v>42517</v>
      </c>
      <c r="AK104">
        <v>59.842433999999997</v>
      </c>
      <c r="AL104" s="5">
        <f t="shared" si="17"/>
        <v>1.3085419654496684</v>
      </c>
      <c r="AO104" s="1">
        <v>42517</v>
      </c>
      <c r="AP104">
        <v>38.118183000000002</v>
      </c>
      <c r="AQ104" s="5">
        <f t="shared" si="18"/>
        <v>1.0542646707126939</v>
      </c>
      <c r="AT104" s="1">
        <v>42517</v>
      </c>
      <c r="AU104">
        <v>163.77011100000001</v>
      </c>
      <c r="AV104" s="5">
        <f t="shared" si="19"/>
        <v>-1.1849964515431764E-2</v>
      </c>
    </row>
    <row r="105" spans="1:48" x14ac:dyDescent="0.2">
      <c r="A105" s="1">
        <v>42521</v>
      </c>
      <c r="B105">
        <v>10.547117</v>
      </c>
      <c r="C105" s="5">
        <f t="shared" si="10"/>
        <v>-0.18001847032473359</v>
      </c>
      <c r="F105" s="1">
        <v>42521</v>
      </c>
      <c r="G105">
        <v>153.528198</v>
      </c>
      <c r="H105" s="5">
        <f t="shared" si="11"/>
        <v>-1.5802046768574103</v>
      </c>
      <c r="K105" s="1">
        <v>42521</v>
      </c>
      <c r="L105">
        <v>116.536148</v>
      </c>
      <c r="M105" s="5">
        <f t="shared" si="12"/>
        <v>2.5218277664507481E-2</v>
      </c>
      <c r="P105" s="1">
        <v>42521</v>
      </c>
      <c r="Q105">
        <v>99.470000999999996</v>
      </c>
      <c r="R105" s="5">
        <f t="shared" si="13"/>
        <v>-0.66906132084144188</v>
      </c>
      <c r="U105" s="1">
        <v>42521</v>
      </c>
      <c r="V105">
        <v>4.57</v>
      </c>
      <c r="W105" s="5">
        <f t="shared" si="14"/>
        <v>-0.65217391304346439</v>
      </c>
      <c r="Z105" s="1">
        <v>42521</v>
      </c>
      <c r="AA105">
        <v>39.021090999999998</v>
      </c>
      <c r="AB105" s="5">
        <f t="shared" si="15"/>
        <v>-0.20336767644718834</v>
      </c>
      <c r="AE105" s="1">
        <v>42521</v>
      </c>
      <c r="AF105">
        <v>258.25607300000001</v>
      </c>
      <c r="AG105" s="5">
        <f t="shared" si="16"/>
        <v>1.1045770576712231</v>
      </c>
      <c r="AJ105" s="1">
        <v>42521</v>
      </c>
      <c r="AK105">
        <v>60.052376000000002</v>
      </c>
      <c r="AL105" s="5">
        <f t="shared" si="17"/>
        <v>0.35082463390443841</v>
      </c>
      <c r="AO105" s="1">
        <v>42521</v>
      </c>
      <c r="AP105">
        <v>38.438259000000002</v>
      </c>
      <c r="AQ105" s="5">
        <f t="shared" si="18"/>
        <v>0.83969374930594221</v>
      </c>
      <c r="AT105" s="1">
        <v>42521</v>
      </c>
      <c r="AU105">
        <v>163.21739199999999</v>
      </c>
      <c r="AV105" s="5">
        <f t="shared" si="19"/>
        <v>-0.33749687084233859</v>
      </c>
    </row>
    <row r="106" spans="1:48" x14ac:dyDescent="0.2">
      <c r="A106" s="1">
        <v>42522</v>
      </c>
      <c r="B106">
        <v>10.404458999999999</v>
      </c>
      <c r="C106" s="5">
        <f t="shared" si="10"/>
        <v>-1.3525781500290632</v>
      </c>
      <c r="F106" s="1">
        <v>42522</v>
      </c>
      <c r="G106">
        <v>153.02922100000001</v>
      </c>
      <c r="H106" s="5">
        <f t="shared" si="11"/>
        <v>-0.32500674566635407</v>
      </c>
      <c r="K106" s="1">
        <v>42522</v>
      </c>
      <c r="L106">
        <v>116.57532500000001</v>
      </c>
      <c r="M106" s="5">
        <f t="shared" si="12"/>
        <v>3.3617895110115828E-2</v>
      </c>
      <c r="P106" s="1">
        <v>42522</v>
      </c>
      <c r="Q106">
        <v>100.040001</v>
      </c>
      <c r="R106" s="5">
        <f t="shared" si="13"/>
        <v>0.57303709085114751</v>
      </c>
      <c r="U106" s="1">
        <v>42522</v>
      </c>
      <c r="V106">
        <v>4.43</v>
      </c>
      <c r="W106" s="5">
        <f t="shared" si="14"/>
        <v>-3.0634573304157673</v>
      </c>
      <c r="Z106" s="1">
        <v>42522</v>
      </c>
      <c r="AA106">
        <v>38.414805999999999</v>
      </c>
      <c r="AB106" s="5">
        <f t="shared" si="15"/>
        <v>-1.5537366702535298</v>
      </c>
      <c r="AE106" s="1">
        <v>42522</v>
      </c>
      <c r="AF106">
        <v>254.36785900000001</v>
      </c>
      <c r="AG106" s="5">
        <f t="shared" si="16"/>
        <v>-1.5055653696089479</v>
      </c>
      <c r="AJ106" s="1">
        <v>42522</v>
      </c>
      <c r="AK106">
        <v>59.956950999999997</v>
      </c>
      <c r="AL106" s="5">
        <f t="shared" si="17"/>
        <v>-0.15890295498050877</v>
      </c>
      <c r="AO106" s="1">
        <v>42522</v>
      </c>
      <c r="AP106">
        <v>38.312171999999997</v>
      </c>
      <c r="AQ106" s="5">
        <f t="shared" si="18"/>
        <v>-0.32802474222364075</v>
      </c>
      <c r="AT106" s="1">
        <v>42522</v>
      </c>
      <c r="AU106">
        <v>163.57617200000001</v>
      </c>
      <c r="AV106" s="5">
        <f t="shared" si="19"/>
        <v>0.21981726065076712</v>
      </c>
    </row>
    <row r="107" spans="1:48" x14ac:dyDescent="0.2">
      <c r="A107" s="1">
        <v>42523</v>
      </c>
      <c r="B107">
        <v>10.309355999999999</v>
      </c>
      <c r="C107" s="5">
        <f t="shared" si="10"/>
        <v>-0.91406001984341467</v>
      </c>
      <c r="F107" s="1">
        <v>42523</v>
      </c>
      <c r="G107">
        <v>151.84162900000001</v>
      </c>
      <c r="H107" s="5">
        <f t="shared" si="11"/>
        <v>-0.77605570507347421</v>
      </c>
      <c r="K107" s="1">
        <v>42523</v>
      </c>
      <c r="L107">
        <v>116.80062100000001</v>
      </c>
      <c r="M107" s="5">
        <f t="shared" si="12"/>
        <v>0.19326216761565979</v>
      </c>
      <c r="P107" s="1">
        <v>42523</v>
      </c>
      <c r="Q107">
        <v>100.16999800000001</v>
      </c>
      <c r="R107" s="5">
        <f t="shared" si="13"/>
        <v>0.1299450206922759</v>
      </c>
      <c r="U107" s="1">
        <v>42523</v>
      </c>
      <c r="V107">
        <v>4.24</v>
      </c>
      <c r="W107" s="5">
        <f t="shared" si="14"/>
        <v>-4.2889390519187245</v>
      </c>
      <c r="Z107" s="1">
        <v>42523</v>
      </c>
      <c r="AA107">
        <v>38.454563</v>
      </c>
      <c r="AB107" s="5">
        <f t="shared" si="15"/>
        <v>0.10349394970262664</v>
      </c>
      <c r="AE107" s="1">
        <v>42523</v>
      </c>
      <c r="AF107">
        <v>254.75666799999999</v>
      </c>
      <c r="AG107" s="5">
        <f t="shared" si="16"/>
        <v>0.15285303793038593</v>
      </c>
      <c r="AJ107" s="1">
        <v>42523</v>
      </c>
      <c r="AK107">
        <v>62.113605</v>
      </c>
      <c r="AL107" s="5">
        <f t="shared" si="17"/>
        <v>3.5970041238421269</v>
      </c>
      <c r="AO107" s="1">
        <v>42523</v>
      </c>
      <c r="AP107">
        <v>38.341267000000002</v>
      </c>
      <c r="AQ107" s="5">
        <f t="shared" si="18"/>
        <v>7.5941922582737423E-2</v>
      </c>
      <c r="AT107" s="1">
        <v>42523</v>
      </c>
      <c r="AU107">
        <v>162.945877</v>
      </c>
      <c r="AV107" s="5">
        <f t="shared" si="19"/>
        <v>-0.38532201377106318</v>
      </c>
    </row>
    <row r="108" spans="1:48" x14ac:dyDescent="0.2">
      <c r="A108" s="1">
        <v>42524</v>
      </c>
      <c r="B108">
        <v>10.670752999999999</v>
      </c>
      <c r="C108" s="5">
        <f t="shared" si="10"/>
        <v>3.5055244963894956</v>
      </c>
      <c r="F108" s="1">
        <v>42524</v>
      </c>
      <c r="G108">
        <v>150.40454099999999</v>
      </c>
      <c r="H108" s="5">
        <f t="shared" si="11"/>
        <v>-0.94643873980041204</v>
      </c>
      <c r="K108" s="1">
        <v>42524</v>
      </c>
      <c r="L108">
        <v>116.467583</v>
      </c>
      <c r="M108" s="5">
        <f t="shared" si="12"/>
        <v>-0.28513375797890828</v>
      </c>
      <c r="P108" s="1">
        <v>42524</v>
      </c>
      <c r="Q108">
        <v>98.699996999999996</v>
      </c>
      <c r="R108" s="5">
        <f t="shared" si="13"/>
        <v>-1.4675062686933571</v>
      </c>
      <c r="U108" s="1">
        <v>42524</v>
      </c>
      <c r="V108">
        <v>4.16</v>
      </c>
      <c r="W108" s="5">
        <f t="shared" si="14"/>
        <v>-1.8867924528301903</v>
      </c>
      <c r="Z108" s="1">
        <v>42524</v>
      </c>
      <c r="AA108">
        <v>37.579917999999999</v>
      </c>
      <c r="AB108" s="5">
        <f t="shared" si="15"/>
        <v>-2.2744895059657835</v>
      </c>
      <c r="AE108" s="1">
        <v>42524</v>
      </c>
      <c r="AF108">
        <v>253.91922</v>
      </c>
      <c r="AG108" s="5">
        <f t="shared" si="16"/>
        <v>-0.32872466364648595</v>
      </c>
      <c r="AJ108" s="1">
        <v>42524</v>
      </c>
      <c r="AK108">
        <v>62.027718</v>
      </c>
      <c r="AL108" s="5">
        <f t="shared" si="17"/>
        <v>-0.13827405445232102</v>
      </c>
      <c r="AO108" s="1">
        <v>42524</v>
      </c>
      <c r="AP108">
        <v>38.001789000000002</v>
      </c>
      <c r="AQ108" s="5">
        <f t="shared" si="18"/>
        <v>-0.88541153321824162</v>
      </c>
      <c r="AT108" s="1">
        <v>42524</v>
      </c>
      <c r="AU108">
        <v>163.27557400000001</v>
      </c>
      <c r="AV108" s="5">
        <f t="shared" si="19"/>
        <v>0.20233528216243862</v>
      </c>
    </row>
    <row r="109" spans="1:48" x14ac:dyDescent="0.2">
      <c r="A109" s="1">
        <v>42527</v>
      </c>
      <c r="B109">
        <v>10.832432000000001</v>
      </c>
      <c r="C109" s="5">
        <f t="shared" si="10"/>
        <v>1.5151601766061051</v>
      </c>
      <c r="F109" s="1">
        <v>42527</v>
      </c>
      <c r="G109">
        <v>149.93553199999999</v>
      </c>
      <c r="H109" s="5">
        <f t="shared" si="11"/>
        <v>-0.31183167534815309</v>
      </c>
      <c r="K109" s="1">
        <v>42527</v>
      </c>
      <c r="L109">
        <v>117.15325199999999</v>
      </c>
      <c r="M109" s="5">
        <f t="shared" si="12"/>
        <v>0.58872089755652446</v>
      </c>
      <c r="P109" s="1">
        <v>42527</v>
      </c>
      <c r="Q109">
        <v>99.120002999999997</v>
      </c>
      <c r="R109" s="5">
        <f t="shared" si="13"/>
        <v>0.42553800685525939</v>
      </c>
      <c r="U109" s="1">
        <v>42527</v>
      </c>
      <c r="V109">
        <v>4.47</v>
      </c>
      <c r="W109" s="5">
        <f t="shared" si="14"/>
        <v>7.4519230769230669</v>
      </c>
      <c r="Z109" s="1">
        <v>42527</v>
      </c>
      <c r="AA109">
        <v>37.53022</v>
      </c>
      <c r="AB109" s="5">
        <f t="shared" si="15"/>
        <v>-0.13224616402834982</v>
      </c>
      <c r="AE109" s="1">
        <v>42527</v>
      </c>
      <c r="AF109">
        <v>251.287216</v>
      </c>
      <c r="AG109" s="5">
        <f t="shared" si="16"/>
        <v>-1.03655170333305</v>
      </c>
      <c r="AJ109" s="1">
        <v>42527</v>
      </c>
      <c r="AK109">
        <v>59.947406999999998</v>
      </c>
      <c r="AL109" s="5">
        <f t="shared" si="17"/>
        <v>-3.3538409393039448</v>
      </c>
      <c r="AO109" s="1">
        <v>42527</v>
      </c>
      <c r="AP109">
        <v>37.992092</v>
      </c>
      <c r="AQ109" s="5">
        <f t="shared" si="18"/>
        <v>-2.5517219728794165E-2</v>
      </c>
      <c r="AT109" s="1">
        <v>42527</v>
      </c>
      <c r="AU109">
        <v>164.924026</v>
      </c>
      <c r="AV109" s="5">
        <f t="shared" si="19"/>
        <v>1.0096133546589103</v>
      </c>
    </row>
    <row r="110" spans="1:48" x14ac:dyDescent="0.2">
      <c r="A110" s="1">
        <v>42528</v>
      </c>
      <c r="B110">
        <v>10.946557</v>
      </c>
      <c r="C110" s="5">
        <f t="shared" si="10"/>
        <v>1.053549193754455</v>
      </c>
      <c r="F110" s="1">
        <v>42528</v>
      </c>
      <c r="G110">
        <v>151.40254200000001</v>
      </c>
      <c r="H110" s="5">
        <f t="shared" si="11"/>
        <v>0.9784271816236435</v>
      </c>
      <c r="K110" s="1">
        <v>42528</v>
      </c>
      <c r="L110">
        <v>117.20224</v>
      </c>
      <c r="M110" s="5">
        <f t="shared" si="12"/>
        <v>4.1815313842084784E-2</v>
      </c>
      <c r="P110" s="1">
        <v>42528</v>
      </c>
      <c r="Q110">
        <v>98.519997000000004</v>
      </c>
      <c r="R110" s="5">
        <f t="shared" si="13"/>
        <v>-0.60533291146086166</v>
      </c>
      <c r="U110" s="1">
        <v>42528</v>
      </c>
      <c r="V110">
        <v>4.51</v>
      </c>
      <c r="W110" s="5">
        <f t="shared" si="14"/>
        <v>0.89485458612975477</v>
      </c>
      <c r="Z110" s="1">
        <v>42528</v>
      </c>
      <c r="AA110">
        <v>37.897972000000003</v>
      </c>
      <c r="AB110" s="5">
        <f t="shared" si="15"/>
        <v>0.97988234548052988</v>
      </c>
      <c r="AE110" s="1">
        <v>42528</v>
      </c>
      <c r="AF110">
        <v>257.35879499999999</v>
      </c>
      <c r="AG110" s="5">
        <f t="shared" si="16"/>
        <v>2.4161909613420152</v>
      </c>
      <c r="AJ110" s="1">
        <v>42528</v>
      </c>
      <c r="AK110">
        <v>60.214599999999997</v>
      </c>
      <c r="AL110" s="5">
        <f t="shared" si="17"/>
        <v>0.44571235583216956</v>
      </c>
      <c r="AO110" s="1">
        <v>42528</v>
      </c>
      <c r="AP110">
        <v>37.759307999999997</v>
      </c>
      <c r="AQ110" s="5">
        <f t="shared" si="18"/>
        <v>-0.6127169833132704</v>
      </c>
      <c r="AT110" s="1">
        <v>42528</v>
      </c>
      <c r="AU110">
        <v>165.728882</v>
      </c>
      <c r="AV110" s="5">
        <f t="shared" si="19"/>
        <v>0.48801622148127827</v>
      </c>
    </row>
    <row r="111" spans="1:48" x14ac:dyDescent="0.2">
      <c r="A111" s="1">
        <v>42529</v>
      </c>
      <c r="B111">
        <v>10.870473</v>
      </c>
      <c r="C111" s="5">
        <f t="shared" si="10"/>
        <v>-0.69504959413265577</v>
      </c>
      <c r="F111" s="1">
        <v>42529</v>
      </c>
      <c r="G111">
        <v>153.20884699999999</v>
      </c>
      <c r="H111" s="5">
        <f t="shared" si="11"/>
        <v>1.1930480004754349</v>
      </c>
      <c r="K111" s="1">
        <v>42529</v>
      </c>
      <c r="L111">
        <v>116.87898300000001</v>
      </c>
      <c r="M111" s="5">
        <f t="shared" si="12"/>
        <v>-0.27581128142260602</v>
      </c>
      <c r="P111" s="1">
        <v>42529</v>
      </c>
      <c r="Q111">
        <v>98.68</v>
      </c>
      <c r="R111" s="5">
        <f t="shared" si="13"/>
        <v>0.16240662289098853</v>
      </c>
      <c r="U111" s="1">
        <v>42529</v>
      </c>
      <c r="V111">
        <v>4.46</v>
      </c>
      <c r="W111" s="5">
        <f t="shared" si="14"/>
        <v>-1.1086474501108607</v>
      </c>
      <c r="Z111" s="1">
        <v>42529</v>
      </c>
      <c r="AA111">
        <v>37.888030999999998</v>
      </c>
      <c r="AB111" s="5">
        <f t="shared" si="15"/>
        <v>-2.6230955049533683E-2</v>
      </c>
      <c r="AE111" s="1">
        <v>42529</v>
      </c>
      <c r="AF111">
        <v>258.66482500000001</v>
      </c>
      <c r="AG111" s="5">
        <f t="shared" si="16"/>
        <v>0.50747439969946284</v>
      </c>
      <c r="AJ111" s="1">
        <v>42529</v>
      </c>
      <c r="AK111">
        <v>58.907249</v>
      </c>
      <c r="AL111" s="5">
        <f t="shared" si="17"/>
        <v>-2.1711528433303502</v>
      </c>
      <c r="AO111" s="1">
        <v>42529</v>
      </c>
      <c r="AP111">
        <v>37.739910000000002</v>
      </c>
      <c r="AQ111" s="5">
        <f t="shared" si="18"/>
        <v>-5.1372763505081624E-2</v>
      </c>
      <c r="AT111" s="1">
        <v>42529</v>
      </c>
      <c r="AU111">
        <v>166.22340399999999</v>
      </c>
      <c r="AV111" s="5">
        <f t="shared" si="19"/>
        <v>0.29839216558522924</v>
      </c>
    </row>
    <row r="112" spans="1:48" x14ac:dyDescent="0.2">
      <c r="A112" s="1">
        <v>42530</v>
      </c>
      <c r="B112">
        <v>10.879982999999999</v>
      </c>
      <c r="C112" s="5">
        <f t="shared" si="10"/>
        <v>8.7484693628315874E-2</v>
      </c>
      <c r="F112" s="1">
        <v>42530</v>
      </c>
      <c r="G112">
        <v>156.46225000000001</v>
      </c>
      <c r="H112" s="5">
        <f t="shared" si="11"/>
        <v>2.1235085725826397</v>
      </c>
      <c r="K112" s="1">
        <v>42530</v>
      </c>
      <c r="L112">
        <v>116.99653600000001</v>
      </c>
      <c r="M112" s="5">
        <f t="shared" si="12"/>
        <v>0.1005766793846939</v>
      </c>
      <c r="P112" s="1">
        <v>42530</v>
      </c>
      <c r="Q112">
        <v>98.07</v>
      </c>
      <c r="R112" s="5">
        <f t="shared" si="13"/>
        <v>-0.61815970814756138</v>
      </c>
      <c r="U112" s="1">
        <v>42530</v>
      </c>
      <c r="V112">
        <v>4.5199999999999996</v>
      </c>
      <c r="W112" s="5">
        <f t="shared" si="14"/>
        <v>1.345291479820619</v>
      </c>
      <c r="Z112" s="1">
        <v>42530</v>
      </c>
      <c r="AA112">
        <v>38.305477000000003</v>
      </c>
      <c r="AB112" s="5">
        <f t="shared" si="15"/>
        <v>1.1017885833127758</v>
      </c>
      <c r="AE112" s="1">
        <v>42530</v>
      </c>
      <c r="AF112">
        <v>257.61795000000001</v>
      </c>
      <c r="AG112" s="5">
        <f t="shared" si="16"/>
        <v>-0.40472259805715749</v>
      </c>
      <c r="AJ112" s="1">
        <v>42530</v>
      </c>
      <c r="AK112">
        <v>57.972060999999997</v>
      </c>
      <c r="AL112" s="5">
        <f t="shared" si="17"/>
        <v>-1.5875601320306161</v>
      </c>
      <c r="AO112" s="1">
        <v>42530</v>
      </c>
      <c r="AP112">
        <v>37.701115000000001</v>
      </c>
      <c r="AQ112" s="5">
        <f t="shared" si="18"/>
        <v>-0.10279568764207535</v>
      </c>
      <c r="AT112" s="1">
        <v>42530</v>
      </c>
      <c r="AU112">
        <v>164.97251900000001</v>
      </c>
      <c r="AV112" s="5">
        <f t="shared" si="19"/>
        <v>-0.75253241715587926</v>
      </c>
    </row>
    <row r="113" spans="1:48" x14ac:dyDescent="0.2">
      <c r="A113" s="1">
        <v>42531</v>
      </c>
      <c r="B113">
        <v>10.651731</v>
      </c>
      <c r="C113" s="5">
        <f t="shared" si="10"/>
        <v>-2.0979076897454663</v>
      </c>
      <c r="F113" s="1">
        <v>42531</v>
      </c>
      <c r="G113">
        <v>152.709869</v>
      </c>
      <c r="H113" s="5">
        <f t="shared" si="11"/>
        <v>-2.3982660354174978</v>
      </c>
      <c r="K113" s="1">
        <v>42531</v>
      </c>
      <c r="L113">
        <v>115.850464</v>
      </c>
      <c r="M113" s="5">
        <f t="shared" si="12"/>
        <v>-0.97957772014720479</v>
      </c>
      <c r="P113" s="1">
        <v>42531</v>
      </c>
      <c r="Q113">
        <v>97.089995999999999</v>
      </c>
      <c r="R113" s="5">
        <f t="shared" si="13"/>
        <v>-0.9992903028449005</v>
      </c>
      <c r="U113" s="1">
        <v>42531</v>
      </c>
      <c r="V113">
        <v>4.32</v>
      </c>
      <c r="W113" s="5">
        <f t="shared" si="14"/>
        <v>-4.4247787610619316</v>
      </c>
      <c r="Z113" s="1">
        <v>42531</v>
      </c>
      <c r="AA113">
        <v>37.540160999999998</v>
      </c>
      <c r="AB113" s="5">
        <f t="shared" si="15"/>
        <v>-1.9979283902403973</v>
      </c>
      <c r="AE113" s="1">
        <v>42531</v>
      </c>
      <c r="AF113">
        <v>250.828598</v>
      </c>
      <c r="AG113" s="5">
        <f t="shared" si="16"/>
        <v>-2.635434370935724</v>
      </c>
      <c r="AJ113" s="1">
        <v>42531</v>
      </c>
      <c r="AK113">
        <v>58.210628999999997</v>
      </c>
      <c r="AL113" s="5">
        <f t="shared" si="17"/>
        <v>0.41152237109527778</v>
      </c>
      <c r="AO113" s="1">
        <v>42531</v>
      </c>
      <c r="AP113">
        <v>37.245251000000003</v>
      </c>
      <c r="AQ113" s="5">
        <f t="shared" si="18"/>
        <v>-1.2091525675036356</v>
      </c>
      <c r="AT113" s="1">
        <v>42531</v>
      </c>
      <c r="AU113">
        <v>163.450119</v>
      </c>
      <c r="AV113" s="5">
        <f t="shared" si="19"/>
        <v>-0.92282036379647236</v>
      </c>
    </row>
    <row r="114" spans="1:48" x14ac:dyDescent="0.2">
      <c r="A114" s="1">
        <v>42534</v>
      </c>
      <c r="B114">
        <v>10.623200000000001</v>
      </c>
      <c r="C114" s="5">
        <f t="shared" si="10"/>
        <v>-0.26785317804213415</v>
      </c>
      <c r="F114" s="1">
        <v>42534</v>
      </c>
      <c r="G114">
        <v>152.24082899999999</v>
      </c>
      <c r="H114" s="5">
        <f t="shared" si="11"/>
        <v>-0.30714452384214064</v>
      </c>
      <c r="K114" s="1">
        <v>42534</v>
      </c>
      <c r="L114">
        <v>114.684814</v>
      </c>
      <c r="M114" s="5">
        <f t="shared" si="12"/>
        <v>-1.0061677439634591</v>
      </c>
      <c r="P114" s="1">
        <v>42534</v>
      </c>
      <c r="Q114">
        <v>96.959998999999996</v>
      </c>
      <c r="R114" s="5">
        <f t="shared" si="13"/>
        <v>-0.13389330039729638</v>
      </c>
      <c r="U114" s="1">
        <v>42534</v>
      </c>
      <c r="V114">
        <v>4.4000000000000004</v>
      </c>
      <c r="W114" s="5">
        <f t="shared" si="14"/>
        <v>1.8518518518518534</v>
      </c>
      <c r="Z114" s="1">
        <v>42534</v>
      </c>
      <c r="AA114">
        <v>37.401015999999998</v>
      </c>
      <c r="AB114" s="5">
        <f t="shared" si="15"/>
        <v>-0.37065637518176653</v>
      </c>
      <c r="AE114" s="1">
        <v>42534</v>
      </c>
      <c r="AF114">
        <v>250.27027899999999</v>
      </c>
      <c r="AG114" s="5">
        <f t="shared" si="16"/>
        <v>-0.22258984998194328</v>
      </c>
      <c r="AJ114" s="1">
        <v>42534</v>
      </c>
      <c r="AK114">
        <v>57.189563999999997</v>
      </c>
      <c r="AL114" s="5">
        <f t="shared" si="17"/>
        <v>-1.7540868695990215</v>
      </c>
      <c r="AO114" s="1">
        <v>42534</v>
      </c>
      <c r="AP114">
        <v>36.721488999999998</v>
      </c>
      <c r="AQ114" s="5">
        <f t="shared" si="18"/>
        <v>-1.4062517661647786</v>
      </c>
      <c r="AT114" s="1">
        <v>42534</v>
      </c>
      <c r="AU114">
        <v>162.06346099999999</v>
      </c>
      <c r="AV114" s="5">
        <f t="shared" si="19"/>
        <v>-0.84836769069590656</v>
      </c>
    </row>
    <row r="115" spans="1:48" x14ac:dyDescent="0.2">
      <c r="A115" s="1">
        <v>42535</v>
      </c>
      <c r="B115">
        <v>10.575647999999999</v>
      </c>
      <c r="C115" s="5">
        <f t="shared" si="10"/>
        <v>-0.44762406807742838</v>
      </c>
      <c r="F115" s="1">
        <v>42535</v>
      </c>
      <c r="G115">
        <v>152.32067900000001</v>
      </c>
      <c r="H115" s="5">
        <f t="shared" si="11"/>
        <v>5.2449793215472926E-2</v>
      </c>
      <c r="K115" s="1">
        <v>42535</v>
      </c>
      <c r="L115">
        <v>115.674149</v>
      </c>
      <c r="M115" s="5">
        <f t="shared" si="12"/>
        <v>0.86265562587911326</v>
      </c>
      <c r="P115" s="1">
        <v>42535</v>
      </c>
      <c r="Q115">
        <v>96.980002999999996</v>
      </c>
      <c r="R115" s="5">
        <f t="shared" si="13"/>
        <v>2.0631188331592425E-2</v>
      </c>
      <c r="U115" s="1">
        <v>42535</v>
      </c>
      <c r="V115">
        <v>4.3899999999999997</v>
      </c>
      <c r="W115" s="5">
        <f t="shared" si="14"/>
        <v>-0.22727272727274261</v>
      </c>
      <c r="Z115" s="1">
        <v>42535</v>
      </c>
      <c r="AA115">
        <v>38.176265999999998</v>
      </c>
      <c r="AB115" s="5">
        <f t="shared" si="15"/>
        <v>2.0728046532211848</v>
      </c>
      <c r="AE115" s="1">
        <v>42535</v>
      </c>
      <c r="AF115">
        <v>246.322281</v>
      </c>
      <c r="AG115" s="5">
        <f t="shared" si="16"/>
        <v>-1.5774937462710001</v>
      </c>
      <c r="AJ115" s="1">
        <v>42535</v>
      </c>
      <c r="AK115">
        <v>57.160933999999997</v>
      </c>
      <c r="AL115" s="5">
        <f t="shared" si="17"/>
        <v>-5.0061581165402332E-2</v>
      </c>
      <c r="AO115" s="1">
        <v>42535</v>
      </c>
      <c r="AP115">
        <v>36.527500000000003</v>
      </c>
      <c r="AQ115" s="5">
        <f t="shared" si="18"/>
        <v>-0.52827106221099818</v>
      </c>
      <c r="AT115" s="1">
        <v>42535</v>
      </c>
      <c r="AU115">
        <v>162.52891500000001</v>
      </c>
      <c r="AV115" s="5">
        <f t="shared" si="19"/>
        <v>0.28720477591184018</v>
      </c>
    </row>
    <row r="116" spans="1:48" x14ac:dyDescent="0.2">
      <c r="A116" s="1">
        <v>42536</v>
      </c>
      <c r="B116">
        <v>10.518586000000001</v>
      </c>
      <c r="C116" s="5">
        <f t="shared" si="10"/>
        <v>-0.53956031819514416</v>
      </c>
      <c r="F116" s="1">
        <v>42536</v>
      </c>
      <c r="G116">
        <v>153.38891599999999</v>
      </c>
      <c r="H116" s="5">
        <f t="shared" si="11"/>
        <v>0.70130792943746134</v>
      </c>
      <c r="K116" s="1">
        <v>42536</v>
      </c>
      <c r="L116">
        <v>115.047234</v>
      </c>
      <c r="M116" s="5">
        <f t="shared" si="12"/>
        <v>-0.5419663817885505</v>
      </c>
      <c r="P116" s="1">
        <v>42536</v>
      </c>
      <c r="Q116">
        <v>97.019997000000004</v>
      </c>
      <c r="R116" s="5">
        <f t="shared" si="13"/>
        <v>4.1239429534774497E-2</v>
      </c>
      <c r="U116" s="1">
        <v>42536</v>
      </c>
      <c r="V116">
        <v>4.42</v>
      </c>
      <c r="W116" s="5">
        <f t="shared" si="14"/>
        <v>0.68337129840547273</v>
      </c>
      <c r="Z116" s="1">
        <v>42536</v>
      </c>
      <c r="AA116">
        <v>38.096755999999999</v>
      </c>
      <c r="AB116" s="5">
        <f t="shared" si="15"/>
        <v>-0.2082707617345266</v>
      </c>
      <c r="AE116" s="1">
        <v>42536</v>
      </c>
      <c r="AF116">
        <v>248.715012</v>
      </c>
      <c r="AG116" s="5">
        <f t="shared" si="16"/>
        <v>0.97138228433342488</v>
      </c>
      <c r="AJ116" s="1">
        <v>42536</v>
      </c>
      <c r="AK116">
        <v>57.638064999999997</v>
      </c>
      <c r="AL116" s="5">
        <f t="shared" si="17"/>
        <v>0.83471519202257949</v>
      </c>
      <c r="AO116" s="1">
        <v>42536</v>
      </c>
      <c r="AP116">
        <v>36.304417000000001</v>
      </c>
      <c r="AQ116" s="5">
        <f t="shared" si="18"/>
        <v>-0.61072616521799339</v>
      </c>
      <c r="AT116" s="1">
        <v>42536</v>
      </c>
      <c r="AU116">
        <v>162.71315000000001</v>
      </c>
      <c r="AV116" s="5">
        <f t="shared" si="19"/>
        <v>0.11335521436293414</v>
      </c>
    </row>
    <row r="117" spans="1:48" x14ac:dyDescent="0.2">
      <c r="A117" s="1">
        <v>42537</v>
      </c>
      <c r="B117">
        <v>10.708796</v>
      </c>
      <c r="C117" s="5">
        <f t="shared" si="10"/>
        <v>1.8083229057593735</v>
      </c>
      <c r="F117" s="1">
        <v>42537</v>
      </c>
      <c r="G117">
        <v>153.68843100000001</v>
      </c>
      <c r="H117" s="5">
        <f t="shared" si="11"/>
        <v>0.19526508682023266</v>
      </c>
      <c r="K117" s="1">
        <v>42537</v>
      </c>
      <c r="L117">
        <v>115.879852</v>
      </c>
      <c r="M117" s="5">
        <f t="shared" si="12"/>
        <v>0.72371839900122803</v>
      </c>
      <c r="P117" s="1">
        <v>42537</v>
      </c>
      <c r="Q117">
        <v>97.190002000000007</v>
      </c>
      <c r="R117" s="5">
        <f t="shared" si="13"/>
        <v>0.17522676278788513</v>
      </c>
      <c r="U117" s="1">
        <v>42537</v>
      </c>
      <c r="V117">
        <v>4.75</v>
      </c>
      <c r="W117" s="5">
        <f t="shared" si="14"/>
        <v>7.4660633484162906</v>
      </c>
      <c r="Z117" s="1">
        <v>42537</v>
      </c>
      <c r="AA117">
        <v>38.792492000000003</v>
      </c>
      <c r="AB117" s="5">
        <f t="shared" si="15"/>
        <v>1.8262342336969681</v>
      </c>
      <c r="AE117" s="1">
        <v>42537</v>
      </c>
      <c r="AF117">
        <v>246.68119799999999</v>
      </c>
      <c r="AG117" s="5">
        <f t="shared" si="16"/>
        <v>-0.81772868619607364</v>
      </c>
      <c r="AJ117" s="1">
        <v>42537</v>
      </c>
      <c r="AK117">
        <v>58.115208000000003</v>
      </c>
      <c r="AL117" s="5">
        <f t="shared" si="17"/>
        <v>0.82782619437346683</v>
      </c>
      <c r="AO117" s="1">
        <v>42537</v>
      </c>
      <c r="AP117">
        <v>36.372306999999999</v>
      </c>
      <c r="AQ117" s="5">
        <f t="shared" si="18"/>
        <v>0.18700203889790726</v>
      </c>
      <c r="AT117" s="1">
        <v>42537</v>
      </c>
      <c r="AU117">
        <v>164.77858000000001</v>
      </c>
      <c r="AV117" s="5">
        <f t="shared" si="19"/>
        <v>1.2693688248306862</v>
      </c>
    </row>
    <row r="118" spans="1:48" x14ac:dyDescent="0.2">
      <c r="A118" s="1">
        <v>42538</v>
      </c>
      <c r="B118">
        <v>11.041661</v>
      </c>
      <c r="C118" s="5">
        <f t="shared" si="10"/>
        <v>3.1083326267490761</v>
      </c>
      <c r="F118" s="1">
        <v>42538</v>
      </c>
      <c r="G118">
        <v>154.29742400000001</v>
      </c>
      <c r="H118" s="5">
        <f t="shared" si="11"/>
        <v>0.39625168663475918</v>
      </c>
      <c r="K118" s="1">
        <v>42538</v>
      </c>
      <c r="L118">
        <v>115.16477999999999</v>
      </c>
      <c r="M118" s="5">
        <f t="shared" si="12"/>
        <v>-0.61708052578459149</v>
      </c>
      <c r="P118" s="1">
        <v>42538</v>
      </c>
      <c r="Q118">
        <v>95.580001999999993</v>
      </c>
      <c r="R118" s="5">
        <f t="shared" si="13"/>
        <v>-1.6565489935888813</v>
      </c>
      <c r="U118" s="1">
        <v>42538</v>
      </c>
      <c r="V118">
        <v>5.26</v>
      </c>
      <c r="W118" s="5">
        <f t="shared" si="14"/>
        <v>10.736842105263152</v>
      </c>
      <c r="Z118" s="1">
        <v>42538</v>
      </c>
      <c r="AA118">
        <v>37.848278000000001</v>
      </c>
      <c r="AB118" s="5">
        <f t="shared" si="15"/>
        <v>-2.4340122310265664</v>
      </c>
      <c r="AE118" s="1">
        <v>42538</v>
      </c>
      <c r="AF118">
        <v>243.83982800000001</v>
      </c>
      <c r="AG118" s="5">
        <f t="shared" si="16"/>
        <v>-1.1518389009931691</v>
      </c>
      <c r="AJ118" s="1">
        <v>42538</v>
      </c>
      <c r="AK118">
        <v>57.265900000000002</v>
      </c>
      <c r="AL118" s="5">
        <f t="shared" si="17"/>
        <v>-1.4614212513874176</v>
      </c>
      <c r="AO118" s="1">
        <v>42538</v>
      </c>
      <c r="AP118">
        <v>36.265616999999999</v>
      </c>
      <c r="AQ118" s="5">
        <f t="shared" si="18"/>
        <v>-0.29332755824369461</v>
      </c>
      <c r="AT118" s="1">
        <v>42538</v>
      </c>
      <c r="AU118">
        <v>163.81858800000001</v>
      </c>
      <c r="AV118" s="5">
        <f t="shared" si="19"/>
        <v>-0.58259514070336071</v>
      </c>
    </row>
    <row r="119" spans="1:48" x14ac:dyDescent="0.2">
      <c r="A119" s="1">
        <v>42541</v>
      </c>
      <c r="B119">
        <v>11.269913000000001</v>
      </c>
      <c r="C119" s="5">
        <f t="shared" si="10"/>
        <v>2.0671889854253016</v>
      </c>
      <c r="F119" s="1">
        <v>42541</v>
      </c>
      <c r="G119">
        <v>155.32574500000001</v>
      </c>
      <c r="H119" s="5">
        <f t="shared" si="11"/>
        <v>0.66645377047902321</v>
      </c>
      <c r="K119" s="1">
        <v>42541</v>
      </c>
      <c r="L119">
        <v>116.61451</v>
      </c>
      <c r="M119" s="5">
        <f t="shared" si="12"/>
        <v>1.2588310419209783</v>
      </c>
      <c r="P119" s="1">
        <v>42541</v>
      </c>
      <c r="Q119">
        <v>97.989998</v>
      </c>
      <c r="R119" s="5">
        <f t="shared" si="13"/>
        <v>2.5214437639371536</v>
      </c>
      <c r="U119" s="1">
        <v>42541</v>
      </c>
      <c r="V119">
        <v>5.0999999999999996</v>
      </c>
      <c r="W119" s="5">
        <f t="shared" si="14"/>
        <v>-3.0418250950570371</v>
      </c>
      <c r="Z119" s="1">
        <v>42541</v>
      </c>
      <c r="AA119">
        <v>38.454563</v>
      </c>
      <c r="AB119" s="5">
        <f t="shared" si="15"/>
        <v>1.6018826536837414</v>
      </c>
      <c r="AE119" s="1">
        <v>42541</v>
      </c>
      <c r="AF119">
        <v>248.475739</v>
      </c>
      <c r="AG119" s="5">
        <f t="shared" si="16"/>
        <v>1.9012115608939788</v>
      </c>
      <c r="AJ119" s="1">
        <v>42541</v>
      </c>
      <c r="AK119">
        <v>57.361331999999997</v>
      </c>
      <c r="AL119" s="5">
        <f t="shared" si="17"/>
        <v>0.16664716698767554</v>
      </c>
      <c r="AO119" s="1">
        <v>42541</v>
      </c>
      <c r="AP119">
        <v>36.614795999999998</v>
      </c>
      <c r="AQ119" s="5">
        <f t="shared" si="18"/>
        <v>0.962837610070165</v>
      </c>
      <c r="AT119" s="1">
        <v>42541</v>
      </c>
      <c r="AU119">
        <v>166.03916899999999</v>
      </c>
      <c r="AV119" s="5">
        <f t="shared" si="19"/>
        <v>1.3555122328364724</v>
      </c>
    </row>
    <row r="120" spans="1:48" x14ac:dyDescent="0.2">
      <c r="A120" s="1">
        <v>42542</v>
      </c>
      <c r="B120">
        <v>11.422082</v>
      </c>
      <c r="C120" s="5">
        <f t="shared" si="10"/>
        <v>1.3502233779444337</v>
      </c>
      <c r="F120" s="1">
        <v>42542</v>
      </c>
      <c r="G120">
        <v>154.187592</v>
      </c>
      <c r="H120" s="5">
        <f t="shared" si="11"/>
        <v>-0.73275231997117851</v>
      </c>
      <c r="K120" s="1">
        <v>42542</v>
      </c>
      <c r="L120">
        <v>116.98674</v>
      </c>
      <c r="M120" s="5">
        <f t="shared" si="12"/>
        <v>0.31919698500641286</v>
      </c>
      <c r="P120" s="1">
        <v>42542</v>
      </c>
      <c r="Q120">
        <v>99.720000999999996</v>
      </c>
      <c r="R120" s="5">
        <f t="shared" si="13"/>
        <v>1.7654893716805631</v>
      </c>
      <c r="U120" s="1">
        <v>42542</v>
      </c>
      <c r="V120">
        <v>5.45</v>
      </c>
      <c r="W120" s="5">
        <f t="shared" si="14"/>
        <v>6.8627450980392259</v>
      </c>
      <c r="Z120" s="1">
        <v>42542</v>
      </c>
      <c r="AA120">
        <v>38.424743999999997</v>
      </c>
      <c r="AB120" s="5">
        <f t="shared" si="15"/>
        <v>-7.7543463437624735E-2</v>
      </c>
      <c r="AE120" s="1">
        <v>42542</v>
      </c>
      <c r="AF120">
        <v>249.45280500000001</v>
      </c>
      <c r="AG120" s="5">
        <f t="shared" si="16"/>
        <v>0.39322390344113545</v>
      </c>
      <c r="AJ120" s="1">
        <v>42542</v>
      </c>
      <c r="AK120">
        <v>57.237273999999999</v>
      </c>
      <c r="AL120" s="5">
        <f t="shared" si="17"/>
        <v>-0.21627461510133345</v>
      </c>
      <c r="AO120" s="1">
        <v>42542</v>
      </c>
      <c r="AP120">
        <v>36.595393999999999</v>
      </c>
      <c r="AQ120" s="5">
        <f t="shared" si="18"/>
        <v>-5.2989507301910072E-2</v>
      </c>
      <c r="AT120" s="1">
        <v>42542</v>
      </c>
      <c r="AU120">
        <v>166.174927</v>
      </c>
      <c r="AV120" s="5">
        <f t="shared" si="19"/>
        <v>8.1762635176769544E-2</v>
      </c>
    </row>
    <row r="121" spans="1:48" x14ac:dyDescent="0.2">
      <c r="A121" s="1">
        <v>42543</v>
      </c>
      <c r="B121">
        <v>11.403059000000001</v>
      </c>
      <c r="C121" s="5">
        <f t="shared" si="10"/>
        <v>-0.16654581887959571</v>
      </c>
      <c r="F121" s="1">
        <v>42543</v>
      </c>
      <c r="G121">
        <v>152.90969799999999</v>
      </c>
      <c r="H121" s="5">
        <f t="shared" si="11"/>
        <v>-0.82879172274770552</v>
      </c>
      <c r="K121" s="1">
        <v>42543</v>
      </c>
      <c r="L121">
        <v>116.594917</v>
      </c>
      <c r="M121" s="5">
        <f t="shared" si="12"/>
        <v>-0.33492941165810952</v>
      </c>
      <c r="P121" s="1">
        <v>42543</v>
      </c>
      <c r="Q121">
        <v>94.010002</v>
      </c>
      <c r="R121" s="5">
        <f t="shared" si="13"/>
        <v>-5.7260318318689114</v>
      </c>
      <c r="U121" s="1">
        <v>42543</v>
      </c>
      <c r="V121">
        <v>5.0199999999999996</v>
      </c>
      <c r="W121" s="5">
        <f t="shared" si="14"/>
        <v>-7.8899082568807444</v>
      </c>
      <c r="Z121" s="1">
        <v>42543</v>
      </c>
      <c r="AA121">
        <v>38.086815000000001</v>
      </c>
      <c r="AB121" s="5">
        <f t="shared" si="15"/>
        <v>-0.87945673756472009</v>
      </c>
      <c r="AE121" s="1">
        <v>42543</v>
      </c>
      <c r="AF121">
        <v>249.15368699999999</v>
      </c>
      <c r="AG121" s="5">
        <f t="shared" si="16"/>
        <v>-0.11990965585655423</v>
      </c>
      <c r="AJ121" s="1">
        <v>42543</v>
      </c>
      <c r="AK121">
        <v>57.628520999999999</v>
      </c>
      <c r="AL121" s="5">
        <f t="shared" si="17"/>
        <v>0.68355281909477361</v>
      </c>
      <c r="AO121" s="1">
        <v>42543</v>
      </c>
      <c r="AP121">
        <v>37.575023999999999</v>
      </c>
      <c r="AQ121" s="5">
        <f t="shared" si="18"/>
        <v>2.6769215819892533</v>
      </c>
      <c r="AT121" s="1">
        <v>42543</v>
      </c>
      <c r="AU121">
        <v>166.03916899999999</v>
      </c>
      <c r="AV121" s="5">
        <f t="shared" si="19"/>
        <v>-8.1695838506376975E-2</v>
      </c>
    </row>
    <row r="122" spans="1:48" x14ac:dyDescent="0.2">
      <c r="A122" s="1">
        <v>42544</v>
      </c>
      <c r="B122">
        <v>11.507674</v>
      </c>
      <c r="C122" s="5">
        <f t="shared" si="10"/>
        <v>0.91742926174458106</v>
      </c>
      <c r="F122" s="1">
        <v>42544</v>
      </c>
      <c r="G122">
        <v>154.67678799999999</v>
      </c>
      <c r="H122" s="5">
        <f t="shared" si="11"/>
        <v>1.1556428553014317</v>
      </c>
      <c r="K122" s="1">
        <v>42544</v>
      </c>
      <c r="L122">
        <v>116.477379</v>
      </c>
      <c r="M122" s="5">
        <f t="shared" si="12"/>
        <v>-0.10080885430022318</v>
      </c>
      <c r="P122" s="1">
        <v>42544</v>
      </c>
      <c r="Q122">
        <v>96.209998999999996</v>
      </c>
      <c r="R122" s="5">
        <f t="shared" si="13"/>
        <v>2.3401733360243906</v>
      </c>
      <c r="U122" s="1">
        <v>42544</v>
      </c>
      <c r="V122">
        <v>5.21</v>
      </c>
      <c r="W122" s="5">
        <f t="shared" si="14"/>
        <v>3.7848605577689329</v>
      </c>
      <c r="Z122" s="1">
        <v>42544</v>
      </c>
      <c r="AA122">
        <v>38.683163</v>
      </c>
      <c r="AB122" s="5">
        <f t="shared" si="15"/>
        <v>1.565759699255501</v>
      </c>
      <c r="AE122" s="1">
        <v>42544</v>
      </c>
      <c r="AF122">
        <v>254.118607</v>
      </c>
      <c r="AG122" s="5">
        <f t="shared" si="16"/>
        <v>1.9927138385072369</v>
      </c>
      <c r="AJ122" s="1">
        <v>42544</v>
      </c>
      <c r="AK122">
        <v>58.506453999999998</v>
      </c>
      <c r="AL122" s="5">
        <f t="shared" si="17"/>
        <v>1.5234348977999952</v>
      </c>
      <c r="AO122" s="1">
        <v>42544</v>
      </c>
      <c r="AP122">
        <v>38.438259000000002</v>
      </c>
      <c r="AQ122" s="5">
        <f t="shared" si="18"/>
        <v>2.2973638020830087</v>
      </c>
      <c r="AT122" s="1">
        <v>42544</v>
      </c>
      <c r="AU122">
        <v>168.831863</v>
      </c>
      <c r="AV122" s="5">
        <f t="shared" si="19"/>
        <v>1.6819489141143629</v>
      </c>
    </row>
    <row r="123" spans="1:48" x14ac:dyDescent="0.2">
      <c r="A123" s="1">
        <v>42545</v>
      </c>
      <c r="B123">
        <v>11.307954000000001</v>
      </c>
      <c r="C123" s="5">
        <f t="shared" si="10"/>
        <v>-1.7355375204407011</v>
      </c>
      <c r="F123" s="1">
        <v>42545</v>
      </c>
      <c r="G123">
        <v>154.26748699999999</v>
      </c>
      <c r="H123" s="5">
        <f t="shared" si="11"/>
        <v>-0.26461695079936576</v>
      </c>
      <c r="K123" s="1">
        <v>42545</v>
      </c>
      <c r="L123">
        <v>109.169983</v>
      </c>
      <c r="M123" s="5">
        <f t="shared" si="12"/>
        <v>-6.2736610857289268</v>
      </c>
      <c r="P123" s="1">
        <v>42545</v>
      </c>
      <c r="Q123">
        <v>92.199996999999996</v>
      </c>
      <c r="R123" s="5">
        <f t="shared" si="13"/>
        <v>-4.1679680300173372</v>
      </c>
      <c r="U123" s="1">
        <v>42545</v>
      </c>
      <c r="V123">
        <v>4.88</v>
      </c>
      <c r="W123" s="5">
        <f t="shared" si="14"/>
        <v>-6.3339731285988492</v>
      </c>
      <c r="Z123" s="1">
        <v>42545</v>
      </c>
      <c r="AA123">
        <v>36.754967000000001</v>
      </c>
      <c r="AB123" s="5">
        <f t="shared" si="15"/>
        <v>-4.9845872220945315</v>
      </c>
      <c r="AE123" s="1">
        <v>42545</v>
      </c>
      <c r="AF123">
        <v>245.92347699999999</v>
      </c>
      <c r="AG123" s="5">
        <f t="shared" si="16"/>
        <v>-3.2249232343698488</v>
      </c>
      <c r="AJ123" s="1">
        <v>42545</v>
      </c>
      <c r="AK123">
        <v>57.122760999999997</v>
      </c>
      <c r="AL123" s="5">
        <f t="shared" si="17"/>
        <v>-2.365026258470563</v>
      </c>
      <c r="AO123" s="1">
        <v>42545</v>
      </c>
      <c r="AP123">
        <v>36.769981000000001</v>
      </c>
      <c r="AQ123" s="5">
        <f t="shared" si="18"/>
        <v>-4.340149745075605</v>
      </c>
      <c r="AT123" s="1">
        <v>42545</v>
      </c>
      <c r="AU123">
        <v>163.993134</v>
      </c>
      <c r="AV123" s="5">
        <f t="shared" si="19"/>
        <v>-2.8660046237836045</v>
      </c>
    </row>
    <row r="124" spans="1:48" x14ac:dyDescent="0.2">
      <c r="A124" s="1">
        <v>42548</v>
      </c>
      <c r="B124">
        <v>10.851452</v>
      </c>
      <c r="C124" s="5">
        <f t="shared" si="10"/>
        <v>-4.0369990893135963</v>
      </c>
      <c r="F124" s="1">
        <v>42548</v>
      </c>
      <c r="G124">
        <v>153.528671</v>
      </c>
      <c r="H124" s="5">
        <f t="shared" si="11"/>
        <v>-0.47891880160074546</v>
      </c>
      <c r="K124" s="1">
        <v>42548</v>
      </c>
      <c r="L124">
        <v>107.05418400000001</v>
      </c>
      <c r="M124" s="5">
        <f t="shared" si="12"/>
        <v>-1.9380776124147565</v>
      </c>
      <c r="P124" s="1">
        <v>42548</v>
      </c>
      <c r="Q124">
        <v>90.849997999999999</v>
      </c>
      <c r="R124" s="5">
        <f t="shared" si="13"/>
        <v>-1.4642072059937234</v>
      </c>
      <c r="U124" s="1">
        <v>42548</v>
      </c>
      <c r="V124">
        <v>4.72</v>
      </c>
      <c r="W124" s="5">
        <f t="shared" si="14"/>
        <v>-3.2786885245901667</v>
      </c>
      <c r="Z124" s="1">
        <v>42548</v>
      </c>
      <c r="AA124">
        <v>35.930019000000001</v>
      </c>
      <c r="AB124" s="5">
        <f t="shared" si="15"/>
        <v>-2.2444531102422132</v>
      </c>
      <c r="AE124" s="1">
        <v>42548</v>
      </c>
      <c r="AF124">
        <v>232.215103</v>
      </c>
      <c r="AG124" s="5">
        <f t="shared" si="16"/>
        <v>-5.5742437311098989</v>
      </c>
      <c r="AJ124" s="1">
        <v>42548</v>
      </c>
      <c r="AK124">
        <v>55.996718999999999</v>
      </c>
      <c r="AL124" s="5">
        <f t="shared" si="17"/>
        <v>-1.9712667600223284</v>
      </c>
      <c r="AO124" s="1">
        <v>42548</v>
      </c>
      <c r="AP124">
        <v>35.838847999999999</v>
      </c>
      <c r="AQ124" s="5">
        <f t="shared" si="18"/>
        <v>-2.5323184148504256</v>
      </c>
      <c r="AT124" s="1">
        <v>42548</v>
      </c>
      <c r="AU124">
        <v>162.12162799999999</v>
      </c>
      <c r="AV124" s="5">
        <f t="shared" si="19"/>
        <v>-1.1412099728516749</v>
      </c>
    </row>
    <row r="125" spans="1:48" x14ac:dyDescent="0.2">
      <c r="A125" s="1">
        <v>42549</v>
      </c>
      <c r="B125">
        <v>11.212851000000001</v>
      </c>
      <c r="C125" s="5">
        <f t="shared" si="10"/>
        <v>3.3304206662850326</v>
      </c>
      <c r="F125" s="1">
        <v>42549</v>
      </c>
      <c r="G125">
        <v>156.723465</v>
      </c>
      <c r="H125" s="5">
        <f t="shared" si="11"/>
        <v>2.0809103467065126</v>
      </c>
      <c r="K125" s="1">
        <v>42549</v>
      </c>
      <c r="L125">
        <v>108.29819500000001</v>
      </c>
      <c r="M125" s="5">
        <f t="shared" si="12"/>
        <v>1.1620386551169271</v>
      </c>
      <c r="P125" s="1">
        <v>42549</v>
      </c>
      <c r="Q125">
        <v>92.459998999999996</v>
      </c>
      <c r="R125" s="5">
        <f t="shared" si="13"/>
        <v>1.772153038462364</v>
      </c>
      <c r="U125" s="1">
        <v>42549</v>
      </c>
      <c r="V125">
        <v>5.12</v>
      </c>
      <c r="W125" s="5">
        <f t="shared" si="14"/>
        <v>8.4745762711864483</v>
      </c>
      <c r="Z125" s="1">
        <v>42549</v>
      </c>
      <c r="AA125">
        <v>36.953750999999997</v>
      </c>
      <c r="AB125" s="5">
        <f t="shared" si="15"/>
        <v>2.8492386825623313</v>
      </c>
      <c r="AE125" s="1">
        <v>42549</v>
      </c>
      <c r="AF125">
        <v>243.91957099999999</v>
      </c>
      <c r="AG125" s="5">
        <f t="shared" si="16"/>
        <v>5.0403560529824762</v>
      </c>
      <c r="AJ125" s="1">
        <v>42549</v>
      </c>
      <c r="AK125">
        <v>57.246814999999998</v>
      </c>
      <c r="AL125" s="5">
        <f t="shared" si="17"/>
        <v>2.2324450830770983</v>
      </c>
      <c r="AO125" s="1">
        <v>42549</v>
      </c>
      <c r="AP125">
        <v>36.430503999999999</v>
      </c>
      <c r="AQ125" s="5">
        <f t="shared" si="18"/>
        <v>1.6508789568236135</v>
      </c>
      <c r="AT125" s="1">
        <v>42549</v>
      </c>
      <c r="AU125">
        <v>164.448883</v>
      </c>
      <c r="AV125" s="5">
        <f t="shared" si="19"/>
        <v>1.4354994017207923</v>
      </c>
    </row>
    <row r="126" spans="1:48" x14ac:dyDescent="0.2">
      <c r="A126" s="1">
        <v>42550</v>
      </c>
      <c r="B126">
        <v>11.4411</v>
      </c>
      <c r="C126" s="5">
        <f t="shared" si="10"/>
        <v>2.0356018286517843</v>
      </c>
      <c r="F126" s="1">
        <v>42550</v>
      </c>
      <c r="G126">
        <v>160.74685700000001</v>
      </c>
      <c r="H126" s="5">
        <f t="shared" si="11"/>
        <v>2.567191836908405</v>
      </c>
      <c r="K126" s="1">
        <v>42550</v>
      </c>
      <c r="L126">
        <v>109.473648</v>
      </c>
      <c r="M126" s="5">
        <f t="shared" si="12"/>
        <v>1.0853855874513791</v>
      </c>
      <c r="P126" s="1">
        <v>42550</v>
      </c>
      <c r="Q126">
        <v>94.389999000000003</v>
      </c>
      <c r="R126" s="5">
        <f t="shared" si="13"/>
        <v>2.0873891638264102</v>
      </c>
      <c r="U126" s="1">
        <v>42550</v>
      </c>
      <c r="V126">
        <v>5.13</v>
      </c>
      <c r="W126" s="5">
        <f t="shared" si="14"/>
        <v>0.19531249999999584</v>
      </c>
      <c r="Z126" s="1">
        <v>42550</v>
      </c>
      <c r="AA126">
        <v>37.788639000000003</v>
      </c>
      <c r="AB126" s="5">
        <f t="shared" si="15"/>
        <v>2.259278090605759</v>
      </c>
      <c r="AE126" s="1">
        <v>42550</v>
      </c>
      <c r="AF126">
        <v>245.863663</v>
      </c>
      <c r="AG126" s="5">
        <f t="shared" si="16"/>
        <v>0.79702173631652218</v>
      </c>
      <c r="AJ126" s="1">
        <v>42550</v>
      </c>
      <c r="AK126">
        <v>58.983592999999999</v>
      </c>
      <c r="AL126" s="5">
        <f t="shared" si="17"/>
        <v>3.0338421447551291</v>
      </c>
      <c r="AO126" s="1">
        <v>42550</v>
      </c>
      <c r="AP126">
        <v>37.410133000000002</v>
      </c>
      <c r="AQ126" s="5">
        <f t="shared" si="18"/>
        <v>2.6890349911162437</v>
      </c>
      <c r="AT126" s="1">
        <v>42550</v>
      </c>
      <c r="AU126">
        <v>166.32037399999999</v>
      </c>
      <c r="AV126" s="5">
        <f t="shared" si="19"/>
        <v>1.1380381343180006</v>
      </c>
    </row>
    <row r="127" spans="1:48" x14ac:dyDescent="0.2">
      <c r="A127" s="1">
        <v>42551</v>
      </c>
      <c r="B127">
        <v>11.869071999999999</v>
      </c>
      <c r="C127" s="5">
        <f t="shared" si="10"/>
        <v>3.7406543077151557</v>
      </c>
      <c r="F127" s="1">
        <v>42551</v>
      </c>
      <c r="G127">
        <v>161.36586</v>
      </c>
      <c r="H127" s="5">
        <f t="shared" si="11"/>
        <v>0.3850793798102019</v>
      </c>
      <c r="K127" s="1">
        <v>42551</v>
      </c>
      <c r="L127">
        <v>110.972343</v>
      </c>
      <c r="M127" s="5">
        <f t="shared" si="12"/>
        <v>1.3690006932079197</v>
      </c>
      <c r="P127" s="1">
        <v>42551</v>
      </c>
      <c r="Q127">
        <v>95.790001000000004</v>
      </c>
      <c r="R127" s="5">
        <f t="shared" si="13"/>
        <v>1.4832101015278119</v>
      </c>
      <c r="U127" s="1">
        <v>42551</v>
      </c>
      <c r="V127">
        <v>5.14</v>
      </c>
      <c r="W127" s="5">
        <f t="shared" si="14"/>
        <v>0.19493177387913815</v>
      </c>
      <c r="Z127" s="1">
        <v>42551</v>
      </c>
      <c r="AA127">
        <v>39.388843999999999</v>
      </c>
      <c r="AB127" s="5">
        <f t="shared" si="15"/>
        <v>4.2346192992025866</v>
      </c>
      <c r="AE127" s="1">
        <v>42551</v>
      </c>
      <c r="AF127">
        <v>247.20959500000001</v>
      </c>
      <c r="AG127" s="5">
        <f t="shared" si="16"/>
        <v>0.54743022355442772</v>
      </c>
      <c r="AJ127" s="1">
        <v>42551</v>
      </c>
      <c r="AK127">
        <v>59.079020999999997</v>
      </c>
      <c r="AL127" s="5">
        <f t="shared" si="17"/>
        <v>0.16178736347919376</v>
      </c>
      <c r="AO127" s="1">
        <v>42551</v>
      </c>
      <c r="AP127">
        <v>38.127884000000002</v>
      </c>
      <c r="AQ127" s="5">
        <f t="shared" si="18"/>
        <v>1.9186005032379858</v>
      </c>
      <c r="AT127" s="1">
        <v>42551</v>
      </c>
      <c r="AU127">
        <v>169.81123400000001</v>
      </c>
      <c r="AV127" s="5">
        <f t="shared" si="19"/>
        <v>2.0988769541848353</v>
      </c>
    </row>
    <row r="128" spans="1:48" x14ac:dyDescent="0.2">
      <c r="A128" s="1">
        <v>42552</v>
      </c>
      <c r="B128">
        <v>11.726416</v>
      </c>
      <c r="C128" s="5">
        <f t="shared" si="10"/>
        <v>-1.2019136795193321</v>
      </c>
      <c r="F128" s="1">
        <v>42552</v>
      </c>
      <c r="G128">
        <v>164.06144699999999</v>
      </c>
      <c r="H128" s="5">
        <f t="shared" si="11"/>
        <v>1.6704816000112965</v>
      </c>
      <c r="K128" s="1">
        <v>42552</v>
      </c>
      <c r="L128">
        <v>111.197639</v>
      </c>
      <c r="M128" s="5">
        <f t="shared" si="12"/>
        <v>0.20301995426013505</v>
      </c>
      <c r="P128" s="1">
        <v>42552</v>
      </c>
      <c r="Q128">
        <v>95.32</v>
      </c>
      <c r="R128" s="5">
        <f t="shared" si="13"/>
        <v>-0.49065768357180678</v>
      </c>
      <c r="U128" s="1">
        <v>42552</v>
      </c>
      <c r="V128">
        <v>5.07</v>
      </c>
      <c r="W128" s="5">
        <f t="shared" si="14"/>
        <v>-1.3618677042801441</v>
      </c>
      <c r="Z128" s="1">
        <v>42552</v>
      </c>
      <c r="AA128">
        <v>39.368965000000003</v>
      </c>
      <c r="AB128" s="5">
        <f t="shared" si="15"/>
        <v>-5.0468604765339098E-2</v>
      </c>
      <c r="AE128" s="1">
        <v>42552</v>
      </c>
      <c r="AF128">
        <v>249.49267599999999</v>
      </c>
      <c r="AG128" s="5">
        <f t="shared" si="16"/>
        <v>0.92354060933596915</v>
      </c>
      <c r="AJ128" s="1">
        <v>42552</v>
      </c>
      <c r="AK128">
        <v>59.842433999999997</v>
      </c>
      <c r="AL128" s="5">
        <f t="shared" si="17"/>
        <v>1.2921896589992579</v>
      </c>
      <c r="AO128" s="1">
        <v>42552</v>
      </c>
      <c r="AP128">
        <v>38.350963999999998</v>
      </c>
      <c r="AQ128" s="5">
        <f t="shared" si="18"/>
        <v>0.58508360967526007</v>
      </c>
      <c r="AT128" s="1">
        <v>42552</v>
      </c>
      <c r="AU128">
        <v>170.21850599999999</v>
      </c>
      <c r="AV128" s="5">
        <f t="shared" si="19"/>
        <v>0.2398380780861516</v>
      </c>
    </row>
    <row r="129" spans="1:48" x14ac:dyDescent="0.2">
      <c r="A129" s="1">
        <v>42556</v>
      </c>
      <c r="B129">
        <v>11.602778000000001</v>
      </c>
      <c r="C129" s="5">
        <f t="shared" si="10"/>
        <v>-1.0543545444746263</v>
      </c>
      <c r="F129" s="1">
        <v>42556</v>
      </c>
      <c r="G129">
        <v>160.92657500000001</v>
      </c>
      <c r="H129" s="5">
        <f t="shared" si="11"/>
        <v>-1.9107913878145748</v>
      </c>
      <c r="K129" s="1">
        <v>42556</v>
      </c>
      <c r="L129">
        <v>110.786232</v>
      </c>
      <c r="M129" s="5">
        <f t="shared" si="12"/>
        <v>-0.36997817912302705</v>
      </c>
      <c r="P129" s="1">
        <v>42556</v>
      </c>
      <c r="Q129">
        <v>94.730002999999996</v>
      </c>
      <c r="R129" s="5">
        <f t="shared" si="13"/>
        <v>-0.6189645404951708</v>
      </c>
      <c r="U129" s="1">
        <v>42556</v>
      </c>
      <c r="V129">
        <v>4.96</v>
      </c>
      <c r="W129" s="5">
        <f t="shared" si="14"/>
        <v>-2.1696252465483297</v>
      </c>
      <c r="Z129" s="1">
        <v>42556</v>
      </c>
      <c r="AA129">
        <v>39.905681999999999</v>
      </c>
      <c r="AB129" s="5">
        <f t="shared" si="15"/>
        <v>1.3632997463865151</v>
      </c>
      <c r="AE129" s="1">
        <v>42556</v>
      </c>
      <c r="AF129">
        <v>246.242538</v>
      </c>
      <c r="AG129" s="5">
        <f t="shared" si="16"/>
        <v>-1.302698761385682</v>
      </c>
      <c r="AJ129" s="1">
        <v>42556</v>
      </c>
      <c r="AK129">
        <v>59.088562000000003</v>
      </c>
      <c r="AL129" s="5">
        <f t="shared" si="17"/>
        <v>-1.2597615932533663</v>
      </c>
      <c r="AO129" s="1">
        <v>42556</v>
      </c>
      <c r="AP129">
        <v>38.253967000000003</v>
      </c>
      <c r="AQ129" s="5">
        <f t="shared" si="18"/>
        <v>-0.25291932687792329</v>
      </c>
      <c r="AT129" s="1">
        <v>42556</v>
      </c>
      <c r="AU129">
        <v>170.30578600000001</v>
      </c>
      <c r="AV129" s="5">
        <f t="shared" si="19"/>
        <v>5.127527085687212E-2</v>
      </c>
    </row>
    <row r="130" spans="1:48" x14ac:dyDescent="0.2">
      <c r="A130" s="1">
        <v>42557</v>
      </c>
      <c r="B130">
        <v>11.631309999999999</v>
      </c>
      <c r="C130" s="5">
        <f t="shared" si="10"/>
        <v>0.24590662684400622</v>
      </c>
      <c r="F130" s="1">
        <v>42557</v>
      </c>
      <c r="G130">
        <v>161.18615700000001</v>
      </c>
      <c r="H130" s="5">
        <f t="shared" si="11"/>
        <v>0.16130461982428609</v>
      </c>
      <c r="K130" s="1">
        <v>42557</v>
      </c>
      <c r="L130">
        <v>111.197639</v>
      </c>
      <c r="M130" s="5">
        <f t="shared" si="12"/>
        <v>0.37135210086393855</v>
      </c>
      <c r="P130" s="1">
        <v>42557</v>
      </c>
      <c r="Q130">
        <v>95.18</v>
      </c>
      <c r="R130" s="5">
        <f t="shared" si="13"/>
        <v>0.47503112609424325</v>
      </c>
      <c r="U130" s="1">
        <v>42557</v>
      </c>
      <c r="V130">
        <v>5.04</v>
      </c>
      <c r="W130" s="5">
        <f t="shared" si="14"/>
        <v>1.6129032258064528</v>
      </c>
      <c r="Z130" s="1">
        <v>42557</v>
      </c>
      <c r="AA130">
        <v>40.263485000000003</v>
      </c>
      <c r="AB130" s="5">
        <f t="shared" si="15"/>
        <v>0.89662168911185147</v>
      </c>
      <c r="AE130" s="1">
        <v>42557</v>
      </c>
      <c r="AF130">
        <v>250.47966</v>
      </c>
      <c r="AG130" s="5">
        <f t="shared" si="16"/>
        <v>1.7207108221082419</v>
      </c>
      <c r="AJ130" s="1">
        <v>42557</v>
      </c>
      <c r="AK130">
        <v>60.472256000000002</v>
      </c>
      <c r="AL130" s="5">
        <f t="shared" si="17"/>
        <v>2.3417290134764124</v>
      </c>
      <c r="AO130" s="1">
        <v>42557</v>
      </c>
      <c r="AP130">
        <v>39.602176999999998</v>
      </c>
      <c r="AQ130" s="5">
        <f t="shared" si="18"/>
        <v>3.524366505570506</v>
      </c>
      <c r="AT130" s="1">
        <v>42557</v>
      </c>
      <c r="AU130">
        <v>169.85003699999999</v>
      </c>
      <c r="AV130" s="5">
        <f t="shared" si="19"/>
        <v>-0.26760629260125413</v>
      </c>
    </row>
    <row r="131" spans="1:48" x14ac:dyDescent="0.2">
      <c r="A131" s="1">
        <v>42558</v>
      </c>
      <c r="B131">
        <v>11.507674</v>
      </c>
      <c r="C131" s="5">
        <f t="shared" si="10"/>
        <v>-1.0629585145611236</v>
      </c>
      <c r="F131" s="1">
        <v>42558</v>
      </c>
      <c r="G131">
        <v>160.86668399999999</v>
      </c>
      <c r="H131" s="5">
        <f t="shared" si="11"/>
        <v>-0.19820126364822774</v>
      </c>
      <c r="K131" s="1">
        <v>42558</v>
      </c>
      <c r="L131">
        <v>110.394409</v>
      </c>
      <c r="M131" s="5">
        <f t="shared" si="12"/>
        <v>-0.72234447351890196</v>
      </c>
      <c r="P131" s="1">
        <v>42558</v>
      </c>
      <c r="Q131">
        <v>95.139999000000003</v>
      </c>
      <c r="R131" s="5">
        <f t="shared" si="13"/>
        <v>-4.2026686278633874E-2</v>
      </c>
      <c r="U131" s="1">
        <v>42558</v>
      </c>
      <c r="V131">
        <v>5.0199999999999996</v>
      </c>
      <c r="W131" s="5">
        <f t="shared" si="14"/>
        <v>-0.39682539682540602</v>
      </c>
      <c r="Z131" s="1">
        <v>42558</v>
      </c>
      <c r="AA131">
        <v>40.144218000000002</v>
      </c>
      <c r="AB131" s="5">
        <f t="shared" si="15"/>
        <v>-0.2962162862951398</v>
      </c>
      <c r="AE131" s="1">
        <v>42558</v>
      </c>
      <c r="AF131">
        <v>252.86244199999999</v>
      </c>
      <c r="AG131" s="5">
        <f t="shared" si="16"/>
        <v>0.95128762151784774</v>
      </c>
      <c r="AJ131" s="1">
        <v>42558</v>
      </c>
      <c r="AK131">
        <v>60.529510000000002</v>
      </c>
      <c r="AL131" s="5">
        <f t="shared" si="17"/>
        <v>9.4678128098942368E-2</v>
      </c>
      <c r="AO131" s="1">
        <v>42558</v>
      </c>
      <c r="AP131">
        <v>40.116233999999999</v>
      </c>
      <c r="AQ131" s="5">
        <f t="shared" si="18"/>
        <v>1.2980523772720907</v>
      </c>
      <c r="AT131" s="1">
        <v>42558</v>
      </c>
      <c r="AU131">
        <v>169.56883199999999</v>
      </c>
      <c r="AV131" s="5">
        <f t="shared" si="19"/>
        <v>-0.16556075286577651</v>
      </c>
    </row>
    <row r="132" spans="1:48" x14ac:dyDescent="0.2">
      <c r="A132" s="1">
        <v>42559</v>
      </c>
      <c r="B132">
        <v>11.716906</v>
      </c>
      <c r="C132" s="5">
        <f t="shared" si="10"/>
        <v>1.8181954059525849</v>
      </c>
      <c r="F132" s="1">
        <v>42559</v>
      </c>
      <c r="G132">
        <v>164.58058199999999</v>
      </c>
      <c r="H132" s="5">
        <f t="shared" si="11"/>
        <v>2.3086806463916423</v>
      </c>
      <c r="K132" s="1">
        <v>42559</v>
      </c>
      <c r="L132">
        <v>112.755112</v>
      </c>
      <c r="M132" s="5">
        <f t="shared" si="12"/>
        <v>2.1384262313501776</v>
      </c>
      <c r="P132" s="1">
        <v>42559</v>
      </c>
      <c r="Q132">
        <v>96.790001000000004</v>
      </c>
      <c r="R132" s="5">
        <f t="shared" si="13"/>
        <v>1.7342884352983863</v>
      </c>
      <c r="U132" s="1">
        <v>42559</v>
      </c>
      <c r="V132">
        <v>5.0999999999999996</v>
      </c>
      <c r="W132" s="5">
        <f t="shared" si="14"/>
        <v>1.5936254980079698</v>
      </c>
      <c r="Z132" s="1">
        <v>42559</v>
      </c>
      <c r="AA132">
        <v>41.038741999999999</v>
      </c>
      <c r="AB132" s="5">
        <f t="shared" si="15"/>
        <v>2.2282760620719948</v>
      </c>
      <c r="AE132" s="1">
        <v>42559</v>
      </c>
      <c r="AF132">
        <v>263.81915300000003</v>
      </c>
      <c r="AG132" s="5">
        <f t="shared" si="16"/>
        <v>4.333071733919283</v>
      </c>
      <c r="AJ132" s="1">
        <v>42559</v>
      </c>
      <c r="AK132">
        <v>61.226139000000003</v>
      </c>
      <c r="AL132" s="5">
        <f t="shared" si="17"/>
        <v>1.150891523820367</v>
      </c>
      <c r="AO132" s="1">
        <v>42559</v>
      </c>
      <c r="AP132">
        <v>40.630294999999997</v>
      </c>
      <c r="AQ132" s="5">
        <f t="shared" si="18"/>
        <v>1.2814288599473174</v>
      </c>
      <c r="AT132" s="1">
        <v>42559</v>
      </c>
      <c r="AU132">
        <v>171.75060999999999</v>
      </c>
      <c r="AV132" s="5">
        <f t="shared" si="19"/>
        <v>1.2866621620652601</v>
      </c>
    </row>
    <row r="133" spans="1:48" x14ac:dyDescent="0.2">
      <c r="A133" s="1">
        <v>42562</v>
      </c>
      <c r="B133">
        <v>11.935646</v>
      </c>
      <c r="C133" s="5">
        <f t="shared" ref="C133:C196" si="20">((B133-B132)/B132)*100</f>
        <v>1.8668750948415938</v>
      </c>
      <c r="F133" s="1">
        <v>42562</v>
      </c>
      <c r="G133">
        <v>163.42248499999999</v>
      </c>
      <c r="H133" s="5">
        <f t="shared" ref="H133:H196" si="21">((G133-G132)/G132)*100</f>
        <v>-0.70366563656944536</v>
      </c>
      <c r="K133" s="1">
        <v>42562</v>
      </c>
      <c r="L133">
        <v>113.097954</v>
      </c>
      <c r="M133" s="5">
        <f t="shared" ref="M133:M196" si="22">((L133-L132)/L132)*100</f>
        <v>0.30405894146954915</v>
      </c>
      <c r="P133" s="1">
        <v>42562</v>
      </c>
      <c r="Q133">
        <v>97.139999000000003</v>
      </c>
      <c r="R133" s="5">
        <f t="shared" ref="R133:R196" si="23">((Q133-Q132)/Q132)*100</f>
        <v>0.36160553402618451</v>
      </c>
      <c r="U133" s="1">
        <v>42562</v>
      </c>
      <c r="V133">
        <v>5.01</v>
      </c>
      <c r="W133" s="5">
        <f t="shared" ref="W133:W196" si="24">((V133-V132)/V132)*100</f>
        <v>-1.7647058823529385</v>
      </c>
      <c r="Z133" s="1">
        <v>42562</v>
      </c>
      <c r="AA133">
        <v>41.943202999999997</v>
      </c>
      <c r="AB133" s="5">
        <f t="shared" ref="AB133:AB196" si="25">((AA133-AA132)/AA132)*100</f>
        <v>2.2039198959851105</v>
      </c>
      <c r="AE133" s="1">
        <v>42562</v>
      </c>
      <c r="AF133">
        <v>267.20886200000001</v>
      </c>
      <c r="AG133" s="5">
        <f t="shared" ref="AG133:AG196" si="26">((AF133-AF132)/AF132)*100</f>
        <v>1.2848608455656674</v>
      </c>
      <c r="AJ133" s="1">
        <v>42562</v>
      </c>
      <c r="AK133">
        <v>61.407443999999998</v>
      </c>
      <c r="AL133" s="5">
        <f t="shared" ref="AL133:AL196" si="27">((AK133-AK132)/AK132)*100</f>
        <v>0.29612352332064368</v>
      </c>
      <c r="AO133" s="1">
        <v>42562</v>
      </c>
      <c r="AP133">
        <v>40.853377999999999</v>
      </c>
      <c r="AQ133" s="5">
        <f t="shared" ref="AQ133:AQ196" si="28">((AP133-AP132)/AP132)*100</f>
        <v>0.54905582152431487</v>
      </c>
      <c r="AT133" s="1">
        <v>42562</v>
      </c>
      <c r="AU133">
        <v>172.61364699999999</v>
      </c>
      <c r="AV133" s="5">
        <f t="shared" ref="AV133:AV196" si="29">((AU133-AU132)/AU132)*100</f>
        <v>0.50249428517313066</v>
      </c>
    </row>
    <row r="134" spans="1:48" x14ac:dyDescent="0.2">
      <c r="A134" s="1">
        <v>42563</v>
      </c>
      <c r="B134">
        <v>11.869071999999999</v>
      </c>
      <c r="C134" s="5">
        <f t="shared" si="20"/>
        <v>-0.55777458547280157</v>
      </c>
      <c r="F134" s="1">
        <v>42563</v>
      </c>
      <c r="G134">
        <v>163.28272999999999</v>
      </c>
      <c r="H134" s="5">
        <f t="shared" si="21"/>
        <v>-8.5517607935045217E-2</v>
      </c>
      <c r="K134" s="1">
        <v>42563</v>
      </c>
      <c r="L134">
        <v>114.116676</v>
      </c>
      <c r="M134" s="5">
        <f t="shared" si="22"/>
        <v>0.90074308506058098</v>
      </c>
      <c r="P134" s="1">
        <v>42563</v>
      </c>
      <c r="Q134">
        <v>97.540001000000004</v>
      </c>
      <c r="R134" s="5">
        <f t="shared" si="23"/>
        <v>0.4117788800883152</v>
      </c>
      <c r="U134" s="1">
        <v>42563</v>
      </c>
      <c r="V134">
        <v>5.14</v>
      </c>
      <c r="W134" s="5">
        <f t="shared" si="24"/>
        <v>2.5948103792415149</v>
      </c>
      <c r="Z134" s="1">
        <v>42563</v>
      </c>
      <c r="AA134">
        <v>42.400405999999997</v>
      </c>
      <c r="AB134" s="5">
        <f t="shared" si="25"/>
        <v>1.0900526600221729</v>
      </c>
      <c r="AE134" s="1">
        <v>42563</v>
      </c>
      <c r="AF134">
        <v>266.97958399999999</v>
      </c>
      <c r="AG134" s="5">
        <f t="shared" si="26"/>
        <v>-8.580478891453161E-2</v>
      </c>
      <c r="AJ134" s="1">
        <v>42563</v>
      </c>
      <c r="AK134">
        <v>62.504855999999997</v>
      </c>
      <c r="AL134" s="5">
        <f t="shared" si="27"/>
        <v>1.787099296951683</v>
      </c>
      <c r="AO134" s="1">
        <v>42563</v>
      </c>
      <c r="AP134">
        <v>41.192855999999999</v>
      </c>
      <c r="AQ134" s="5">
        <f t="shared" si="28"/>
        <v>0.83096678076412611</v>
      </c>
      <c r="AT134" s="1">
        <v>42563</v>
      </c>
      <c r="AU134">
        <v>173.72877500000001</v>
      </c>
      <c r="AV134" s="5">
        <f t="shared" si="29"/>
        <v>0.6460253979802808</v>
      </c>
    </row>
    <row r="135" spans="1:48" x14ac:dyDescent="0.2">
      <c r="A135" s="1">
        <v>42564</v>
      </c>
      <c r="B135">
        <v>12.011728</v>
      </c>
      <c r="C135" s="5">
        <f t="shared" si="20"/>
        <v>1.2019136795193472</v>
      </c>
      <c r="F135" s="1">
        <v>42564</v>
      </c>
      <c r="G135">
        <v>162.64376799999999</v>
      </c>
      <c r="H135" s="5">
        <f t="shared" si="21"/>
        <v>-0.39132246257763592</v>
      </c>
      <c r="K135" s="1">
        <v>42564</v>
      </c>
      <c r="L135">
        <v>114.439926</v>
      </c>
      <c r="M135" s="5">
        <f t="shared" si="22"/>
        <v>0.28326271963967969</v>
      </c>
      <c r="P135" s="1">
        <v>42564</v>
      </c>
      <c r="Q135">
        <v>97.339995999999999</v>
      </c>
      <c r="R135" s="5">
        <f t="shared" si="23"/>
        <v>-0.20504920847807295</v>
      </c>
      <c r="U135" s="1">
        <v>42564</v>
      </c>
      <c r="V135">
        <v>5.09</v>
      </c>
      <c r="W135" s="5">
        <f t="shared" si="24"/>
        <v>-0.97276264591439343</v>
      </c>
      <c r="Z135" s="1">
        <v>42564</v>
      </c>
      <c r="AA135">
        <v>41.853752</v>
      </c>
      <c r="AB135" s="5">
        <f t="shared" si="25"/>
        <v>-1.2892659565571063</v>
      </c>
      <c r="AE135" s="1">
        <v>42564</v>
      </c>
      <c r="AF135">
        <v>260.369598</v>
      </c>
      <c r="AG135" s="5">
        <f t="shared" si="26"/>
        <v>-2.4758395008960656</v>
      </c>
      <c r="AJ135" s="1">
        <v>42564</v>
      </c>
      <c r="AK135">
        <v>62.350830000000002</v>
      </c>
      <c r="AL135" s="5">
        <f t="shared" si="27"/>
        <v>-0.24642245396100854</v>
      </c>
      <c r="AO135" s="1">
        <v>42564</v>
      </c>
      <c r="AP135">
        <v>40.958641</v>
      </c>
      <c r="AQ135" s="5">
        <f t="shared" si="28"/>
        <v>-0.5685816006542469</v>
      </c>
      <c r="AT135" s="1">
        <v>42564</v>
      </c>
      <c r="AU135">
        <v>173.77726699999999</v>
      </c>
      <c r="AV135" s="5">
        <f t="shared" si="29"/>
        <v>2.791247448788018E-2</v>
      </c>
    </row>
    <row r="136" spans="1:48" x14ac:dyDescent="0.2">
      <c r="A136" s="1">
        <v>42565</v>
      </c>
      <c r="B136">
        <v>11.907114999999999</v>
      </c>
      <c r="C136" s="5">
        <f t="shared" si="20"/>
        <v>-0.87092381712273637</v>
      </c>
      <c r="F136" s="1">
        <v>42565</v>
      </c>
      <c r="G136">
        <v>164.69042999999999</v>
      </c>
      <c r="H136" s="5">
        <f t="shared" si="21"/>
        <v>1.2583709939627061</v>
      </c>
      <c r="K136" s="1">
        <v>42565</v>
      </c>
      <c r="L136">
        <v>114.38114899999999</v>
      </c>
      <c r="M136" s="5">
        <f t="shared" si="22"/>
        <v>-5.1360571484471512E-2</v>
      </c>
      <c r="P136" s="1">
        <v>42565</v>
      </c>
      <c r="Q136">
        <v>97.699996999999996</v>
      </c>
      <c r="R136" s="5">
        <f t="shared" si="23"/>
        <v>0.3698387248752269</v>
      </c>
      <c r="U136" s="1">
        <v>42565</v>
      </c>
      <c r="V136">
        <v>5.17</v>
      </c>
      <c r="W136" s="5">
        <f t="shared" si="24"/>
        <v>1.5717092337917498</v>
      </c>
      <c r="Z136" s="1">
        <v>42565</v>
      </c>
      <c r="AA136">
        <v>41.595332999999997</v>
      </c>
      <c r="AB136" s="5">
        <f t="shared" si="25"/>
        <v>-0.61743329486924736</v>
      </c>
      <c r="AE136" s="1">
        <v>42565</v>
      </c>
      <c r="AF136">
        <v>264.60888699999998</v>
      </c>
      <c r="AG136" s="5">
        <f t="shared" si="26"/>
        <v>1.6281812594725382</v>
      </c>
      <c r="AJ136" s="1">
        <v>42565</v>
      </c>
      <c r="AK136">
        <v>61.243782000000003</v>
      </c>
      <c r="AL136" s="5">
        <f t="shared" si="27"/>
        <v>-1.7755144558620934</v>
      </c>
      <c r="AO136" s="1">
        <v>42565</v>
      </c>
      <c r="AP136">
        <v>41.261169000000002</v>
      </c>
      <c r="AQ136" s="5">
        <f t="shared" si="28"/>
        <v>0.73861825640162804</v>
      </c>
      <c r="AT136" s="1">
        <v>42565</v>
      </c>
      <c r="AU136">
        <v>175.416031</v>
      </c>
      <c r="AV136" s="5">
        <f t="shared" si="29"/>
        <v>0.94302553394398181</v>
      </c>
    </row>
    <row r="137" spans="1:48" x14ac:dyDescent="0.2">
      <c r="A137" s="1">
        <v>42566</v>
      </c>
      <c r="B137">
        <v>12.011728</v>
      </c>
      <c r="C137" s="5">
        <f t="shared" si="20"/>
        <v>0.87857554075861799</v>
      </c>
      <c r="F137" s="1">
        <v>42566</v>
      </c>
      <c r="G137">
        <v>164.32101399999999</v>
      </c>
      <c r="H137" s="5">
        <f t="shared" si="21"/>
        <v>-0.224309329934958</v>
      </c>
      <c r="K137" s="1">
        <v>42566</v>
      </c>
      <c r="L137">
        <v>112.735519</v>
      </c>
      <c r="M137" s="5">
        <f t="shared" si="22"/>
        <v>-1.438724837429284</v>
      </c>
      <c r="P137" s="1">
        <v>42566</v>
      </c>
      <c r="Q137">
        <v>97.830001999999993</v>
      </c>
      <c r="R137" s="5">
        <f t="shared" si="23"/>
        <v>0.13306551073895839</v>
      </c>
      <c r="U137" s="1">
        <v>42566</v>
      </c>
      <c r="V137">
        <v>5.14</v>
      </c>
      <c r="W137" s="5">
        <f t="shared" si="24"/>
        <v>-0.58027079303675533</v>
      </c>
      <c r="Z137" s="1">
        <v>42566</v>
      </c>
      <c r="AA137">
        <v>41.943202999999997</v>
      </c>
      <c r="AB137" s="5">
        <f t="shared" si="25"/>
        <v>0.83631978616447267</v>
      </c>
      <c r="AE137" s="1">
        <v>42566</v>
      </c>
      <c r="AF137">
        <v>264.74856599999998</v>
      </c>
      <c r="AG137" s="5">
        <f t="shared" si="26"/>
        <v>5.2786964785502842E-2</v>
      </c>
      <c r="AJ137" s="1">
        <v>42566</v>
      </c>
      <c r="AK137">
        <v>60.954990000000002</v>
      </c>
      <c r="AL137" s="5">
        <f t="shared" si="27"/>
        <v>-0.47154501333702875</v>
      </c>
      <c r="AO137" s="1">
        <v>42566</v>
      </c>
      <c r="AP137">
        <v>41.085506000000002</v>
      </c>
      <c r="AQ137" s="5">
        <f t="shared" si="28"/>
        <v>-0.42573442356904651</v>
      </c>
      <c r="AT137" s="1">
        <v>42566</v>
      </c>
      <c r="AU137">
        <v>175.900848</v>
      </c>
      <c r="AV137" s="5">
        <f t="shared" si="29"/>
        <v>0.27638123906702261</v>
      </c>
    </row>
    <row r="138" spans="1:48" x14ac:dyDescent="0.2">
      <c r="A138" s="1">
        <v>42569</v>
      </c>
      <c r="B138">
        <v>11.954668</v>
      </c>
      <c r="C138" s="5">
        <f t="shared" si="20"/>
        <v>-0.47503573174484048</v>
      </c>
      <c r="F138" s="1">
        <v>42569</v>
      </c>
      <c r="G138">
        <v>164.131317</v>
      </c>
      <c r="H138" s="5">
        <f t="shared" si="21"/>
        <v>-0.1154429341581323</v>
      </c>
      <c r="K138" s="1">
        <v>42569</v>
      </c>
      <c r="L138">
        <v>111.80495500000001</v>
      </c>
      <c r="M138" s="5">
        <f t="shared" si="22"/>
        <v>-0.82543993965201834</v>
      </c>
      <c r="P138" s="1">
        <v>42569</v>
      </c>
      <c r="Q138">
        <v>97.790001000000004</v>
      </c>
      <c r="R138" s="5">
        <f t="shared" si="23"/>
        <v>-4.0888274744172573E-2</v>
      </c>
      <c r="U138" s="1">
        <v>42569</v>
      </c>
      <c r="V138">
        <v>5.51</v>
      </c>
      <c r="W138" s="5">
        <f t="shared" si="24"/>
        <v>7.1984435797665389</v>
      </c>
      <c r="Z138" s="1">
        <v>42569</v>
      </c>
      <c r="AA138">
        <v>41.883567999999997</v>
      </c>
      <c r="AB138" s="5">
        <f t="shared" si="25"/>
        <v>-0.1421803671026271</v>
      </c>
      <c r="AE138" s="1">
        <v>42569</v>
      </c>
      <c r="AF138">
        <v>263.022919</v>
      </c>
      <c r="AG138" s="5">
        <f t="shared" si="26"/>
        <v>-0.65180598560823966</v>
      </c>
      <c r="AJ138" s="1">
        <v>42569</v>
      </c>
      <c r="AK138">
        <v>61.186028</v>
      </c>
      <c r="AL138" s="5">
        <f t="shared" si="27"/>
        <v>0.37903049446812814</v>
      </c>
      <c r="AO138" s="1">
        <v>42569</v>
      </c>
      <c r="AP138">
        <v>41.075747999999997</v>
      </c>
      <c r="AQ138" s="5">
        <f t="shared" si="28"/>
        <v>-2.3750468109130844E-2</v>
      </c>
      <c r="AT138" s="1">
        <v>42569</v>
      </c>
      <c r="AU138">
        <v>175.61965900000001</v>
      </c>
      <c r="AV138" s="5">
        <f t="shared" si="29"/>
        <v>-0.15985653463136432</v>
      </c>
    </row>
    <row r="139" spans="1:48" x14ac:dyDescent="0.2">
      <c r="A139" s="1">
        <v>42570</v>
      </c>
      <c r="B139">
        <v>11.897605</v>
      </c>
      <c r="C139" s="5">
        <f t="shared" si="20"/>
        <v>-0.47732818678025535</v>
      </c>
      <c r="F139" s="1">
        <v>42570</v>
      </c>
      <c r="G139">
        <v>163.43246500000001</v>
      </c>
      <c r="H139" s="5">
        <f t="shared" si="21"/>
        <v>-0.42578833386195764</v>
      </c>
      <c r="K139" s="1">
        <v>42570</v>
      </c>
      <c r="L139">
        <v>111.050713</v>
      </c>
      <c r="M139" s="5">
        <f t="shared" si="22"/>
        <v>-0.67460516396612735</v>
      </c>
      <c r="P139" s="1">
        <v>42570</v>
      </c>
      <c r="Q139">
        <v>97.790001000000004</v>
      </c>
      <c r="R139" s="5">
        <f t="shared" si="23"/>
        <v>0</v>
      </c>
      <c r="U139" s="1">
        <v>42570</v>
      </c>
      <c r="V139">
        <v>5.41</v>
      </c>
      <c r="W139" s="5">
        <f t="shared" si="24"/>
        <v>-1.8148820326678701</v>
      </c>
      <c r="Z139" s="1">
        <v>42570</v>
      </c>
      <c r="AA139">
        <v>41.267341999999999</v>
      </c>
      <c r="AB139" s="5">
        <f t="shared" si="25"/>
        <v>-1.4712834398444696</v>
      </c>
      <c r="AE139" s="1">
        <v>42570</v>
      </c>
      <c r="AF139">
        <v>266.02526899999998</v>
      </c>
      <c r="AG139" s="5">
        <f t="shared" si="26"/>
        <v>1.1414784732124346</v>
      </c>
      <c r="AJ139" s="1">
        <v>42570</v>
      </c>
      <c r="AK139">
        <v>60.954990000000002</v>
      </c>
      <c r="AL139" s="5">
        <f t="shared" si="27"/>
        <v>-0.37759927805739912</v>
      </c>
      <c r="AO139" s="1">
        <v>42570</v>
      </c>
      <c r="AP139">
        <v>40.792732000000001</v>
      </c>
      <c r="AQ139" s="5">
        <f t="shared" si="28"/>
        <v>-0.68900997250250051</v>
      </c>
      <c r="AT139" s="1">
        <v>42570</v>
      </c>
      <c r="AU139">
        <v>175.74572800000001</v>
      </c>
      <c r="AV139" s="5">
        <f t="shared" si="29"/>
        <v>7.1785243587109512E-2</v>
      </c>
    </row>
    <row r="140" spans="1:48" x14ac:dyDescent="0.2">
      <c r="A140" s="1">
        <v>42571</v>
      </c>
      <c r="B140">
        <v>11.945157</v>
      </c>
      <c r="C140" s="5">
        <f t="shared" si="20"/>
        <v>0.39967707786566786</v>
      </c>
      <c r="F140" s="1">
        <v>42571</v>
      </c>
      <c r="G140">
        <v>163.48237599999999</v>
      </c>
      <c r="H140" s="5">
        <f t="shared" si="21"/>
        <v>3.0539219976875632E-2</v>
      </c>
      <c r="K140" s="1">
        <v>42571</v>
      </c>
      <c r="L140">
        <v>113.08815</v>
      </c>
      <c r="M140" s="5">
        <f t="shared" si="22"/>
        <v>1.8346906066240181</v>
      </c>
      <c r="P140" s="1">
        <v>42571</v>
      </c>
      <c r="Q140">
        <v>98.400002000000001</v>
      </c>
      <c r="R140" s="5">
        <f t="shared" si="23"/>
        <v>0.62378667937634735</v>
      </c>
      <c r="U140" s="1">
        <v>42571</v>
      </c>
      <c r="V140">
        <v>5.41</v>
      </c>
      <c r="W140" s="5">
        <f t="shared" si="24"/>
        <v>0</v>
      </c>
      <c r="Z140" s="1">
        <v>42571</v>
      </c>
      <c r="AA140">
        <v>41.128193000000003</v>
      </c>
      <c r="AB140" s="5">
        <f t="shared" si="25"/>
        <v>-0.33718915068481076</v>
      </c>
      <c r="AE140" s="1">
        <v>42571</v>
      </c>
      <c r="AF140">
        <v>267.14248700000002</v>
      </c>
      <c r="AG140" s="5">
        <f t="shared" si="26"/>
        <v>0.41996687164332375</v>
      </c>
      <c r="AJ140" s="1">
        <v>42571</v>
      </c>
      <c r="AK140">
        <v>61.041626000000001</v>
      </c>
      <c r="AL140" s="5">
        <f t="shared" si="27"/>
        <v>0.14213110362252313</v>
      </c>
      <c r="AO140" s="1">
        <v>42571</v>
      </c>
      <c r="AP140">
        <v>41.622253000000001</v>
      </c>
      <c r="AQ140" s="5">
        <f t="shared" si="28"/>
        <v>2.0335019483372667</v>
      </c>
      <c r="AT140" s="1">
        <v>42571</v>
      </c>
      <c r="AU140">
        <v>175.92025799999999</v>
      </c>
      <c r="AV140" s="5">
        <f t="shared" si="29"/>
        <v>9.9308246058746788E-2</v>
      </c>
    </row>
    <row r="141" spans="1:48" x14ac:dyDescent="0.2">
      <c r="A141" s="1">
        <v>42572</v>
      </c>
      <c r="B141">
        <v>11.973687</v>
      </c>
      <c r="C141" s="5">
        <f t="shared" si="20"/>
        <v>0.2388415656654822</v>
      </c>
      <c r="F141" s="1">
        <v>42572</v>
      </c>
      <c r="G141">
        <v>163.82182299999999</v>
      </c>
      <c r="H141" s="5">
        <f t="shared" si="21"/>
        <v>0.20763522546308416</v>
      </c>
      <c r="K141" s="1">
        <v>42572</v>
      </c>
      <c r="L141">
        <v>110.06137099999999</v>
      </c>
      <c r="M141" s="5">
        <f t="shared" si="22"/>
        <v>-2.6764775973433159</v>
      </c>
      <c r="P141" s="1">
        <v>42572</v>
      </c>
      <c r="Q141">
        <v>96.339995999999999</v>
      </c>
      <c r="R141" s="5">
        <f t="shared" si="23"/>
        <v>-2.0935019899694729</v>
      </c>
      <c r="U141" s="1">
        <v>42572</v>
      </c>
      <c r="V141">
        <v>5.22</v>
      </c>
      <c r="W141" s="5">
        <f t="shared" si="24"/>
        <v>-3.5120147874306911</v>
      </c>
      <c r="Z141" s="1">
        <v>42572</v>
      </c>
      <c r="AA141">
        <v>41.018864000000001</v>
      </c>
      <c r="AB141" s="5">
        <f t="shared" si="25"/>
        <v>-0.26582495370025722</v>
      </c>
      <c r="AE141" s="1">
        <v>42572</v>
      </c>
      <c r="AF141">
        <v>264.31961100000001</v>
      </c>
      <c r="AG141" s="5">
        <f t="shared" si="26"/>
        <v>-1.0566930149152978</v>
      </c>
      <c r="AJ141" s="1">
        <v>42572</v>
      </c>
      <c r="AK141">
        <v>61.503700000000002</v>
      </c>
      <c r="AL141" s="5">
        <f t="shared" si="27"/>
        <v>0.75698180123838965</v>
      </c>
      <c r="AO141" s="1">
        <v>42572</v>
      </c>
      <c r="AP141">
        <v>42.002853000000002</v>
      </c>
      <c r="AQ141" s="5">
        <f t="shared" si="28"/>
        <v>0.91441470023259219</v>
      </c>
      <c r="AT141" s="1">
        <v>42572</v>
      </c>
      <c r="AU141">
        <v>174.79541</v>
      </c>
      <c r="AV141" s="5">
        <f t="shared" si="29"/>
        <v>-0.63940788445182128</v>
      </c>
    </row>
    <row r="142" spans="1:48" x14ac:dyDescent="0.2">
      <c r="A142" s="1">
        <v>42573</v>
      </c>
      <c r="B142">
        <v>12.030751</v>
      </c>
      <c r="C142" s="5">
        <f t="shared" si="20"/>
        <v>0.476578350511421</v>
      </c>
      <c r="F142" s="1">
        <v>42573</v>
      </c>
      <c r="G142">
        <v>165.758667</v>
      </c>
      <c r="H142" s="5">
        <f t="shared" si="21"/>
        <v>1.1822869288910354</v>
      </c>
      <c r="K142" s="1">
        <v>42573</v>
      </c>
      <c r="L142">
        <v>110.55114</v>
      </c>
      <c r="M142" s="5">
        <f t="shared" si="22"/>
        <v>0.44499627394248042</v>
      </c>
      <c r="P142" s="1">
        <v>42573</v>
      </c>
      <c r="Q142">
        <v>98.059997999999993</v>
      </c>
      <c r="R142" s="5">
        <f t="shared" si="23"/>
        <v>1.7853457249468785</v>
      </c>
      <c r="U142" s="1">
        <v>42573</v>
      </c>
      <c r="V142">
        <v>5.84</v>
      </c>
      <c r="W142" s="5">
        <f t="shared" si="24"/>
        <v>11.877394636015328</v>
      </c>
      <c r="Z142" s="1">
        <v>42573</v>
      </c>
      <c r="AA142">
        <v>41.187828000000003</v>
      </c>
      <c r="AB142" s="5">
        <f t="shared" si="25"/>
        <v>0.41191779470051276</v>
      </c>
      <c r="AE142" s="1">
        <v>42573</v>
      </c>
      <c r="AF142">
        <v>264.28967299999999</v>
      </c>
      <c r="AG142" s="5">
        <f t="shared" si="26"/>
        <v>-1.1326439187297217E-2</v>
      </c>
      <c r="AJ142" s="1">
        <v>42573</v>
      </c>
      <c r="AK142">
        <v>61.426689000000003</v>
      </c>
      <c r="AL142" s="5">
        <f t="shared" si="27"/>
        <v>-0.12521360503514231</v>
      </c>
      <c r="AO142" s="1">
        <v>42573</v>
      </c>
      <c r="AP142">
        <v>42.129722999999998</v>
      </c>
      <c r="AQ142" s="5">
        <f t="shared" si="28"/>
        <v>0.30205091068455919</v>
      </c>
      <c r="AT142" s="1">
        <v>42573</v>
      </c>
      <c r="AU142">
        <v>174.969955</v>
      </c>
      <c r="AV142" s="5">
        <f t="shared" si="29"/>
        <v>9.9856741089479895E-2</v>
      </c>
    </row>
    <row r="143" spans="1:48" x14ac:dyDescent="0.2">
      <c r="A143" s="1">
        <v>42576</v>
      </c>
      <c r="B143">
        <v>12.049772000000001</v>
      </c>
      <c r="C143" s="5">
        <f t="shared" si="20"/>
        <v>0.15810318075738081</v>
      </c>
      <c r="F143" s="1">
        <v>42576</v>
      </c>
      <c r="G143">
        <v>166.39762899999999</v>
      </c>
      <c r="H143" s="5">
        <f t="shared" si="21"/>
        <v>0.38547727944747062</v>
      </c>
      <c r="K143" s="1">
        <v>42576</v>
      </c>
      <c r="L143">
        <v>110.756851</v>
      </c>
      <c r="M143" s="5">
        <f t="shared" si="22"/>
        <v>0.18607768314283665</v>
      </c>
      <c r="P143" s="1">
        <v>42576</v>
      </c>
      <c r="Q143">
        <v>97.32</v>
      </c>
      <c r="R143" s="5">
        <f t="shared" si="23"/>
        <v>-0.75463799214028127</v>
      </c>
      <c r="U143" s="1">
        <v>42576</v>
      </c>
      <c r="V143">
        <v>6.7</v>
      </c>
      <c r="W143" s="5">
        <f t="shared" si="24"/>
        <v>14.72602739726028</v>
      </c>
      <c r="Z143" s="1">
        <v>42576</v>
      </c>
      <c r="AA143">
        <v>42.141987</v>
      </c>
      <c r="AB143" s="5">
        <f t="shared" si="25"/>
        <v>2.3166043132937162</v>
      </c>
      <c r="AE143" s="1">
        <v>42576</v>
      </c>
      <c r="AF143">
        <v>261.526703</v>
      </c>
      <c r="AG143" s="5">
        <f t="shared" si="26"/>
        <v>-1.0454324486602229</v>
      </c>
      <c r="AJ143" s="1">
        <v>42576</v>
      </c>
      <c r="AK143">
        <v>61.917641000000003</v>
      </c>
      <c r="AL143" s="5">
        <f t="shared" si="27"/>
        <v>0.7992486783717091</v>
      </c>
      <c r="AO143" s="1">
        <v>42576</v>
      </c>
      <c r="AP143">
        <v>42.363937</v>
      </c>
      <c r="AQ143" s="5">
        <f t="shared" si="28"/>
        <v>0.55593529537329611</v>
      </c>
      <c r="AT143" s="1">
        <v>42576</v>
      </c>
      <c r="AU143">
        <v>174.18452500000001</v>
      </c>
      <c r="AV143" s="5">
        <f t="shared" si="29"/>
        <v>-0.44889421158049159</v>
      </c>
    </row>
    <row r="144" spans="1:48" x14ac:dyDescent="0.2">
      <c r="A144" s="1">
        <v>42577</v>
      </c>
      <c r="B144">
        <v>11.992709</v>
      </c>
      <c r="C144" s="5">
        <f t="shared" si="20"/>
        <v>-0.47356082754097911</v>
      </c>
      <c r="F144" s="1">
        <v>42577</v>
      </c>
      <c r="G144">
        <v>165.958359</v>
      </c>
      <c r="H144" s="5">
        <f t="shared" si="21"/>
        <v>-0.26398813651364794</v>
      </c>
      <c r="K144" s="1">
        <v>42577</v>
      </c>
      <c r="L144">
        <v>111.922501</v>
      </c>
      <c r="M144" s="5">
        <f t="shared" si="22"/>
        <v>1.0524405393215805</v>
      </c>
      <c r="P144" s="1">
        <v>42577</v>
      </c>
      <c r="Q144">
        <v>97.910004000000001</v>
      </c>
      <c r="R144" s="5">
        <f t="shared" si="23"/>
        <v>0.60625154130703607</v>
      </c>
      <c r="U144" s="1">
        <v>42577</v>
      </c>
      <c r="V144">
        <v>6.98</v>
      </c>
      <c r="W144" s="5">
        <f t="shared" si="24"/>
        <v>4.1791044776119435</v>
      </c>
      <c r="Z144" s="1">
        <v>42577</v>
      </c>
      <c r="AA144">
        <v>41.307098000000003</v>
      </c>
      <c r="AB144" s="5">
        <f t="shared" si="25"/>
        <v>-1.9811334477417901</v>
      </c>
      <c r="AE144" s="1">
        <v>42577</v>
      </c>
      <c r="AF144">
        <v>262.15512100000001</v>
      </c>
      <c r="AG144" s="5">
        <f t="shared" si="26"/>
        <v>0.24028827373700751</v>
      </c>
      <c r="AJ144" s="1">
        <v>42577</v>
      </c>
      <c r="AK144">
        <v>62.042782000000003</v>
      </c>
      <c r="AL144" s="5">
        <f t="shared" si="27"/>
        <v>0.20210879804028592</v>
      </c>
      <c r="AO144" s="1">
        <v>42577</v>
      </c>
      <c r="AP144">
        <v>42.549357999999998</v>
      </c>
      <c r="AQ144" s="5">
        <f t="shared" si="28"/>
        <v>0.43768594972652813</v>
      </c>
      <c r="AT144" s="1">
        <v>42577</v>
      </c>
      <c r="AU144">
        <v>172.27424600000001</v>
      </c>
      <c r="AV144" s="5">
        <f t="shared" si="29"/>
        <v>-1.0966984581437431</v>
      </c>
    </row>
    <row r="145" spans="1:48" x14ac:dyDescent="0.2">
      <c r="A145" s="1">
        <v>42578</v>
      </c>
      <c r="B145">
        <v>11.764457999999999</v>
      </c>
      <c r="C145" s="5">
        <f t="shared" si="20"/>
        <v>-1.903248048460112</v>
      </c>
      <c r="F145" s="1">
        <v>42578</v>
      </c>
      <c r="G145">
        <v>164.46078499999999</v>
      </c>
      <c r="H145" s="5">
        <f t="shared" si="21"/>
        <v>-0.90237937337040941</v>
      </c>
      <c r="K145" s="1">
        <v>42578</v>
      </c>
      <c r="L145">
        <v>111.383751</v>
      </c>
      <c r="M145" s="5">
        <f t="shared" si="22"/>
        <v>-0.48135986525175412</v>
      </c>
      <c r="P145" s="1">
        <v>42578</v>
      </c>
      <c r="Q145">
        <v>97.93</v>
      </c>
      <c r="R145" s="5">
        <f t="shared" si="23"/>
        <v>2.0422836465215668E-2</v>
      </c>
      <c r="U145" s="1">
        <v>42578</v>
      </c>
      <c r="V145">
        <v>6.85</v>
      </c>
      <c r="W145" s="5">
        <f t="shared" si="24"/>
        <v>-1.8624641833811</v>
      </c>
      <c r="Z145" s="1">
        <v>42578</v>
      </c>
      <c r="AA145">
        <v>40.641173999999999</v>
      </c>
      <c r="AB145" s="5">
        <f t="shared" si="25"/>
        <v>-1.6121297119444311</v>
      </c>
      <c r="AE145" s="1">
        <v>42578</v>
      </c>
      <c r="AF145">
        <v>260.84845000000001</v>
      </c>
      <c r="AG145" s="5">
        <f t="shared" si="26"/>
        <v>-0.49843428387576466</v>
      </c>
      <c r="AJ145" s="1">
        <v>42578</v>
      </c>
      <c r="AK145">
        <v>62.475979000000002</v>
      </c>
      <c r="AL145" s="5">
        <f t="shared" si="27"/>
        <v>0.69822304228717502</v>
      </c>
      <c r="AO145" s="1">
        <v>42578</v>
      </c>
      <c r="AP145">
        <v>42.617671999999999</v>
      </c>
      <c r="AQ145" s="5">
        <f t="shared" si="28"/>
        <v>0.16055236368078898</v>
      </c>
      <c r="AT145" s="1">
        <v>42578</v>
      </c>
      <c r="AU145">
        <v>172.86575300000001</v>
      </c>
      <c r="AV145" s="5">
        <f t="shared" si="29"/>
        <v>0.34335195987449402</v>
      </c>
    </row>
    <row r="146" spans="1:48" x14ac:dyDescent="0.2">
      <c r="A146" s="1">
        <v>42579</v>
      </c>
      <c r="B146">
        <v>11.754861999999999</v>
      </c>
      <c r="C146" s="5">
        <f t="shared" si="20"/>
        <v>-8.1567718631832931E-2</v>
      </c>
      <c r="F146" s="1">
        <v>42579</v>
      </c>
      <c r="G146">
        <v>170.06163000000001</v>
      </c>
      <c r="H146" s="5">
        <f t="shared" si="21"/>
        <v>3.4055808501704656</v>
      </c>
      <c r="K146" s="1">
        <v>42579</v>
      </c>
      <c r="L146">
        <v>109.787102</v>
      </c>
      <c r="M146" s="5">
        <f t="shared" si="22"/>
        <v>-1.4334667181391649</v>
      </c>
      <c r="P146" s="1">
        <v>42579</v>
      </c>
      <c r="Q146">
        <v>98.440002000000007</v>
      </c>
      <c r="R146" s="5">
        <f t="shared" si="23"/>
        <v>0.52078219136117643</v>
      </c>
      <c r="U146" s="1">
        <v>42579</v>
      </c>
      <c r="V146">
        <v>6.82</v>
      </c>
      <c r="W146" s="5">
        <f t="shared" si="24"/>
        <v>-0.43795620437955274</v>
      </c>
      <c r="Z146" s="1">
        <v>42579</v>
      </c>
      <c r="AA146">
        <v>40.024948000000002</v>
      </c>
      <c r="AB146" s="5">
        <f t="shared" si="25"/>
        <v>-1.5162603324401935</v>
      </c>
      <c r="AE146" s="1">
        <v>42579</v>
      </c>
      <c r="AF146">
        <v>262.98297100000002</v>
      </c>
      <c r="AG146" s="5">
        <f t="shared" si="26"/>
        <v>0.81829928450792266</v>
      </c>
      <c r="AJ146" s="1">
        <v>42579</v>
      </c>
      <c r="AK146">
        <v>62.302703999999999</v>
      </c>
      <c r="AL146" s="5">
        <f t="shared" si="27"/>
        <v>-0.2773465942806656</v>
      </c>
      <c r="AO146" s="1">
        <v>42579</v>
      </c>
      <c r="AP146">
        <v>43.378880000000002</v>
      </c>
      <c r="AQ146" s="5">
        <f t="shared" si="28"/>
        <v>1.7861322880330099</v>
      </c>
      <c r="AT146" s="1">
        <v>42579</v>
      </c>
      <c r="AU146">
        <v>172.58453399999999</v>
      </c>
      <c r="AV146" s="5">
        <f t="shared" si="29"/>
        <v>-0.16268057444554759</v>
      </c>
    </row>
    <row r="147" spans="1:48" x14ac:dyDescent="0.2">
      <c r="A147" s="1">
        <v>42580</v>
      </c>
      <c r="B147">
        <v>11.850821</v>
      </c>
      <c r="C147" s="5">
        <f t="shared" si="20"/>
        <v>0.81633455160937307</v>
      </c>
      <c r="F147" s="1">
        <v>42580</v>
      </c>
      <c r="G147">
        <v>169.58239699999999</v>
      </c>
      <c r="H147" s="5">
        <f t="shared" si="21"/>
        <v>-0.28179960406119942</v>
      </c>
      <c r="K147" s="1">
        <v>42580</v>
      </c>
      <c r="L147">
        <v>110.502167</v>
      </c>
      <c r="M147" s="5">
        <f t="shared" si="22"/>
        <v>0.65131967869959406</v>
      </c>
      <c r="P147" s="1">
        <v>42580</v>
      </c>
      <c r="Q147">
        <v>97.860000999999997</v>
      </c>
      <c r="R147" s="5">
        <f t="shared" si="23"/>
        <v>-0.58919238949224106</v>
      </c>
      <c r="U147" s="1">
        <v>42580</v>
      </c>
      <c r="V147">
        <v>6.86</v>
      </c>
      <c r="W147" s="5">
        <f t="shared" si="24"/>
        <v>0.58651026392961925</v>
      </c>
      <c r="Z147" s="1">
        <v>42580</v>
      </c>
      <c r="AA147">
        <v>39.915619</v>
      </c>
      <c r="AB147" s="5">
        <f t="shared" si="25"/>
        <v>-0.2731521350133983</v>
      </c>
      <c r="AE147" s="1">
        <v>42580</v>
      </c>
      <c r="AF147">
        <v>261.76611300000002</v>
      </c>
      <c r="AG147" s="5">
        <f t="shared" si="26"/>
        <v>-0.46271361045655002</v>
      </c>
      <c r="AJ147" s="1">
        <v>42580</v>
      </c>
      <c r="AK147">
        <v>63.756309999999999</v>
      </c>
      <c r="AL147" s="5">
        <f t="shared" si="27"/>
        <v>2.3331346902696239</v>
      </c>
      <c r="AO147" s="1">
        <v>42580</v>
      </c>
      <c r="AP147">
        <v>43.671646000000003</v>
      </c>
      <c r="AQ147" s="5">
        <f t="shared" si="28"/>
        <v>0.67490446964052619</v>
      </c>
      <c r="AT147" s="1">
        <v>42580</v>
      </c>
      <c r="AU147">
        <v>172.95301799999999</v>
      </c>
      <c r="AV147" s="5">
        <f t="shared" si="29"/>
        <v>0.21350928235550651</v>
      </c>
    </row>
    <row r="148" spans="1:48" x14ac:dyDescent="0.2">
      <c r="A148" s="1">
        <v>42583</v>
      </c>
      <c r="B148">
        <v>11.678095000000001</v>
      </c>
      <c r="C148" s="5">
        <f t="shared" si="20"/>
        <v>-1.457502395825564</v>
      </c>
      <c r="F148" s="1">
        <v>42583</v>
      </c>
      <c r="G148">
        <v>168.224625</v>
      </c>
      <c r="H148" s="5">
        <f t="shared" si="21"/>
        <v>-0.80065621433572676</v>
      </c>
      <c r="K148" s="1">
        <v>42583</v>
      </c>
      <c r="L148">
        <v>110.57073200000001</v>
      </c>
      <c r="M148" s="5">
        <f t="shared" si="22"/>
        <v>6.2048556930115815E-2</v>
      </c>
      <c r="P148" s="1">
        <v>42583</v>
      </c>
      <c r="Q148">
        <v>97.720000999999996</v>
      </c>
      <c r="R148" s="5">
        <f t="shared" si="23"/>
        <v>-0.14306151499017516</v>
      </c>
      <c r="U148" s="1">
        <v>42583</v>
      </c>
      <c r="V148">
        <v>6.64</v>
      </c>
      <c r="W148" s="5">
        <f t="shared" si="24"/>
        <v>-3.2069970845481142</v>
      </c>
      <c r="Z148" s="1">
        <v>42583</v>
      </c>
      <c r="AA148">
        <v>39.826163999999999</v>
      </c>
      <c r="AB148" s="5">
        <f t="shared" si="25"/>
        <v>-0.22411026620932761</v>
      </c>
      <c r="AE148" s="1">
        <v>42583</v>
      </c>
      <c r="AF148">
        <v>261.426941</v>
      </c>
      <c r="AG148" s="5">
        <f t="shared" si="26"/>
        <v>-0.129570629335058</v>
      </c>
      <c r="AJ148" s="1">
        <v>42583</v>
      </c>
      <c r="AK148">
        <v>64.439789000000005</v>
      </c>
      <c r="AL148" s="5">
        <f t="shared" si="27"/>
        <v>1.0720178128251234</v>
      </c>
      <c r="AO148" s="1">
        <v>42583</v>
      </c>
      <c r="AP148">
        <v>44.198639</v>
      </c>
      <c r="AQ148" s="5">
        <f t="shared" si="28"/>
        <v>1.2067165959350317</v>
      </c>
      <c r="AT148" s="1">
        <v>42583</v>
      </c>
      <c r="AU148">
        <v>172.88514699999999</v>
      </c>
      <c r="AV148" s="5">
        <f t="shared" si="29"/>
        <v>-3.924244906787154E-2</v>
      </c>
    </row>
    <row r="149" spans="1:48" x14ac:dyDescent="0.2">
      <c r="A149" s="1">
        <v>42584</v>
      </c>
      <c r="B149">
        <v>11.687692</v>
      </c>
      <c r="C149" s="5">
        <f t="shared" si="20"/>
        <v>8.2179499310456122E-2</v>
      </c>
      <c r="F149" s="1">
        <v>42584</v>
      </c>
      <c r="G149">
        <v>166.33772300000001</v>
      </c>
      <c r="H149" s="5">
        <f t="shared" si="21"/>
        <v>-1.1216562379021455</v>
      </c>
      <c r="K149" s="1">
        <v>42584</v>
      </c>
      <c r="L149">
        <v>110.521759</v>
      </c>
      <c r="M149" s="5">
        <f t="shared" si="22"/>
        <v>-4.4291105895910773E-2</v>
      </c>
      <c r="P149" s="1">
        <v>42584</v>
      </c>
      <c r="Q149">
        <v>96.050003000000004</v>
      </c>
      <c r="R149" s="5">
        <f t="shared" si="23"/>
        <v>-1.7089623238951794</v>
      </c>
      <c r="U149" s="1">
        <v>42584</v>
      </c>
      <c r="V149">
        <v>6.26</v>
      </c>
      <c r="W149" s="5">
        <f t="shared" si="24"/>
        <v>-5.7228915662650595</v>
      </c>
      <c r="Z149" s="1">
        <v>42584</v>
      </c>
      <c r="AA149">
        <v>39.508113999999999</v>
      </c>
      <c r="AB149" s="5">
        <f t="shared" si="25"/>
        <v>-0.79859561669057433</v>
      </c>
      <c r="AE149" s="1">
        <v>42584</v>
      </c>
      <c r="AF149">
        <v>259.36218300000002</v>
      </c>
      <c r="AG149" s="5">
        <f t="shared" si="26"/>
        <v>-0.78980306777180387</v>
      </c>
      <c r="AJ149" s="1">
        <v>42584</v>
      </c>
      <c r="AK149">
        <v>64.285751000000005</v>
      </c>
      <c r="AL149" s="5">
        <f t="shared" si="27"/>
        <v>-0.23904175105228831</v>
      </c>
      <c r="AO149" s="1">
        <v>42584</v>
      </c>
      <c r="AP149">
        <v>43.983939999999997</v>
      </c>
      <c r="AQ149" s="5">
        <f t="shared" si="28"/>
        <v>-0.48575930132147976</v>
      </c>
      <c r="AT149" s="1">
        <v>42584</v>
      </c>
      <c r="AU149">
        <v>172.95301799999999</v>
      </c>
      <c r="AV149" s="5">
        <f t="shared" si="29"/>
        <v>3.9257854811551099E-2</v>
      </c>
    </row>
    <row r="150" spans="1:48" x14ac:dyDescent="0.2">
      <c r="A150" s="1">
        <v>42585</v>
      </c>
      <c r="B150">
        <v>11.898797999999999</v>
      </c>
      <c r="C150" s="5">
        <f t="shared" si="20"/>
        <v>1.8062248731400443</v>
      </c>
      <c r="F150" s="1">
        <v>42585</v>
      </c>
      <c r="G150">
        <v>168.37437399999999</v>
      </c>
      <c r="H150" s="5">
        <f t="shared" si="21"/>
        <v>1.2244071658958431</v>
      </c>
      <c r="K150" s="1">
        <v>42585</v>
      </c>
      <c r="L150">
        <v>111.285797</v>
      </c>
      <c r="M150" s="5">
        <f t="shared" si="22"/>
        <v>0.69130097721300221</v>
      </c>
      <c r="P150" s="1">
        <v>42585</v>
      </c>
      <c r="Q150">
        <v>96.669998000000007</v>
      </c>
      <c r="R150" s="5">
        <f t="shared" si="23"/>
        <v>0.64549191112467008</v>
      </c>
      <c r="U150" s="1">
        <v>42585</v>
      </c>
      <c r="V150">
        <v>6.3</v>
      </c>
      <c r="W150" s="5">
        <f t="shared" si="24"/>
        <v>0.63897763578274813</v>
      </c>
      <c r="Z150" s="1">
        <v>42585</v>
      </c>
      <c r="AA150">
        <v>40.134281000000001</v>
      </c>
      <c r="AB150" s="5">
        <f t="shared" si="25"/>
        <v>1.5849073433371239</v>
      </c>
      <c r="AE150" s="1">
        <v>42585</v>
      </c>
      <c r="AF150">
        <v>263.830872</v>
      </c>
      <c r="AG150" s="5">
        <f t="shared" si="26"/>
        <v>1.7229531878207485</v>
      </c>
      <c r="AJ150" s="1">
        <v>42585</v>
      </c>
      <c r="AK150">
        <v>64.083595000000003</v>
      </c>
      <c r="AL150" s="5">
        <f t="shared" si="27"/>
        <v>-0.3144647092946028</v>
      </c>
      <c r="AO150" s="1">
        <v>42585</v>
      </c>
      <c r="AP150">
        <v>43.866829000000003</v>
      </c>
      <c r="AQ150" s="5">
        <f t="shared" si="28"/>
        <v>-0.26625854800637277</v>
      </c>
      <c r="AT150" s="1">
        <v>42585</v>
      </c>
      <c r="AU150">
        <v>172.97242700000001</v>
      </c>
      <c r="AV150" s="5">
        <f t="shared" si="29"/>
        <v>1.1222122761699618E-2</v>
      </c>
    </row>
    <row r="151" spans="1:48" x14ac:dyDescent="0.2">
      <c r="A151" s="1">
        <v>42586</v>
      </c>
      <c r="B151">
        <v>11.908393999999999</v>
      </c>
      <c r="C151" s="5">
        <f t="shared" si="20"/>
        <v>8.0646801466838586E-2</v>
      </c>
      <c r="F151" s="1">
        <v>42586</v>
      </c>
      <c r="G151">
        <v>169.901871</v>
      </c>
      <c r="H151" s="5">
        <f t="shared" si="21"/>
        <v>0.90720277896920998</v>
      </c>
      <c r="K151" s="1">
        <v>42586</v>
      </c>
      <c r="L151">
        <v>111.383751</v>
      </c>
      <c r="M151" s="5">
        <f t="shared" si="22"/>
        <v>8.8020216991393271E-2</v>
      </c>
      <c r="P151" s="1">
        <v>42586</v>
      </c>
      <c r="Q151">
        <v>97.089995999999999</v>
      </c>
      <c r="R151" s="5">
        <f t="shared" si="23"/>
        <v>0.43446571706765996</v>
      </c>
      <c r="U151" s="1">
        <v>42586</v>
      </c>
      <c r="V151">
        <v>6.47</v>
      </c>
      <c r="W151" s="5">
        <f t="shared" si="24"/>
        <v>2.6984126984126977</v>
      </c>
      <c r="Z151" s="1">
        <v>42586</v>
      </c>
      <c r="AA151">
        <v>40.581543000000003</v>
      </c>
      <c r="AB151" s="5">
        <f t="shared" si="25"/>
        <v>1.114413884728624</v>
      </c>
      <c r="AE151" s="1">
        <v>42586</v>
      </c>
      <c r="AF151">
        <v>263.082764</v>
      </c>
      <c r="AG151" s="5">
        <f t="shared" si="26"/>
        <v>-0.28355589864403813</v>
      </c>
      <c r="AJ151" s="1">
        <v>42586</v>
      </c>
      <c r="AK151">
        <v>63.631160999999999</v>
      </c>
      <c r="AL151" s="5">
        <f t="shared" si="27"/>
        <v>-0.70600595987163917</v>
      </c>
      <c r="AO151" s="1">
        <v>42586</v>
      </c>
      <c r="AP151">
        <v>43.730201999999998</v>
      </c>
      <c r="AQ151" s="5">
        <f t="shared" si="28"/>
        <v>-0.31145857385771897</v>
      </c>
      <c r="AT151" s="1">
        <v>42586</v>
      </c>
      <c r="AU151">
        <v>172.41970800000001</v>
      </c>
      <c r="AV151" s="5">
        <f t="shared" si="29"/>
        <v>-0.31954168047835518</v>
      </c>
    </row>
    <row r="152" spans="1:48" x14ac:dyDescent="0.2">
      <c r="A152" s="1">
        <v>42587</v>
      </c>
      <c r="B152">
        <v>11.735670000000001</v>
      </c>
      <c r="C152" s="5">
        <f t="shared" si="20"/>
        <v>-1.4504390768394022</v>
      </c>
      <c r="F152" s="1">
        <v>42587</v>
      </c>
      <c r="G152">
        <v>170.21137999999999</v>
      </c>
      <c r="H152" s="5">
        <f t="shared" si="21"/>
        <v>0.18216927110825717</v>
      </c>
      <c r="K152" s="1">
        <v>42587</v>
      </c>
      <c r="L152">
        <v>112.25554700000001</v>
      </c>
      <c r="M152" s="5">
        <f t="shared" si="22"/>
        <v>0.78269585300642586</v>
      </c>
      <c r="P152" s="1">
        <v>42587</v>
      </c>
      <c r="Q152">
        <v>99.040001000000004</v>
      </c>
      <c r="R152" s="5">
        <f t="shared" si="23"/>
        <v>2.0084510045710626</v>
      </c>
      <c r="U152" s="1">
        <v>42587</v>
      </c>
      <c r="V152">
        <v>6.61</v>
      </c>
      <c r="W152" s="5">
        <f t="shared" si="24"/>
        <v>2.1638330757341664</v>
      </c>
      <c r="Z152" s="1">
        <v>42587</v>
      </c>
      <c r="AA152">
        <v>40.313186999999999</v>
      </c>
      <c r="AB152" s="5">
        <f t="shared" si="25"/>
        <v>-0.66127598943195487</v>
      </c>
      <c r="AE152" s="1">
        <v>42587</v>
      </c>
      <c r="AF152">
        <v>267.012787</v>
      </c>
      <c r="AG152" s="5">
        <f t="shared" si="26"/>
        <v>1.4938352251765172</v>
      </c>
      <c r="AJ152" s="1">
        <v>42587</v>
      </c>
      <c r="AK152">
        <v>64.054717999999994</v>
      </c>
      <c r="AL152" s="5">
        <f t="shared" si="27"/>
        <v>0.66564399162855958</v>
      </c>
      <c r="AO152" s="1">
        <v>42587</v>
      </c>
      <c r="AP152">
        <v>44.169356999999998</v>
      </c>
      <c r="AQ152" s="5">
        <f t="shared" si="28"/>
        <v>1.0042373003445069</v>
      </c>
      <c r="AT152" s="1">
        <v>42587</v>
      </c>
      <c r="AU152">
        <v>173.15666200000001</v>
      </c>
      <c r="AV152" s="5">
        <f t="shared" si="29"/>
        <v>0.42741865680459057</v>
      </c>
    </row>
    <row r="153" spans="1:48" x14ac:dyDescent="0.2">
      <c r="A153" s="1">
        <v>42590</v>
      </c>
      <c r="B153">
        <v>11.687692</v>
      </c>
      <c r="C153" s="5">
        <f t="shared" si="20"/>
        <v>-0.40882199312012452</v>
      </c>
      <c r="F153" s="1">
        <v>42590</v>
      </c>
      <c r="G153">
        <v>168.604004</v>
      </c>
      <c r="H153" s="5">
        <f t="shared" si="21"/>
        <v>-0.94434108929731253</v>
      </c>
      <c r="K153" s="1">
        <v>42590</v>
      </c>
      <c r="L153">
        <v>111.35437</v>
      </c>
      <c r="M153" s="5">
        <f t="shared" si="22"/>
        <v>-0.80279061844489885</v>
      </c>
      <c r="P153" s="1">
        <v>42590</v>
      </c>
      <c r="Q153">
        <v>98.489998</v>
      </c>
      <c r="R153" s="5">
        <f t="shared" si="23"/>
        <v>-0.55533420279347923</v>
      </c>
      <c r="U153" s="1">
        <v>42590</v>
      </c>
      <c r="V153">
        <v>6.68</v>
      </c>
      <c r="W153" s="5">
        <f t="shared" si="24"/>
        <v>1.0590015128592949</v>
      </c>
      <c r="Z153" s="1">
        <v>42590</v>
      </c>
      <c r="AA153">
        <v>40.362881000000002</v>
      </c>
      <c r="AB153" s="5">
        <f t="shared" si="25"/>
        <v>0.12326983723713619</v>
      </c>
      <c r="AE153" s="1">
        <v>42590</v>
      </c>
      <c r="AF153">
        <v>268.67855800000001</v>
      </c>
      <c r="AG153" s="5">
        <f t="shared" si="26"/>
        <v>0.62385439241155383</v>
      </c>
      <c r="AJ153" s="1">
        <v>42590</v>
      </c>
      <c r="AK153">
        <v>63.862189999999998</v>
      </c>
      <c r="AL153" s="5">
        <f t="shared" si="27"/>
        <v>-0.300568023732453</v>
      </c>
      <c r="AO153" s="1">
        <v>42590</v>
      </c>
      <c r="AP153">
        <v>43.935142999999997</v>
      </c>
      <c r="AQ153" s="5">
        <f t="shared" si="28"/>
        <v>-0.530263549002992</v>
      </c>
      <c r="AT153" s="1">
        <v>42590</v>
      </c>
      <c r="AU153">
        <v>173.16635099999999</v>
      </c>
      <c r="AV153" s="5">
        <f t="shared" si="29"/>
        <v>5.5955109598845787E-3</v>
      </c>
    </row>
    <row r="154" spans="1:48" x14ac:dyDescent="0.2">
      <c r="A154" s="1">
        <v>42591</v>
      </c>
      <c r="B154">
        <v>11.582136999999999</v>
      </c>
      <c r="C154" s="5">
        <f t="shared" si="20"/>
        <v>-0.90312954858838457</v>
      </c>
      <c r="F154" s="1">
        <v>42591</v>
      </c>
      <c r="G154">
        <v>166.22789</v>
      </c>
      <c r="H154" s="5">
        <f t="shared" si="21"/>
        <v>-1.409286816225314</v>
      </c>
      <c r="K154" s="1">
        <v>42591</v>
      </c>
      <c r="L154">
        <v>110.57073200000001</v>
      </c>
      <c r="M154" s="5">
        <f t="shared" si="22"/>
        <v>-0.70373349514706629</v>
      </c>
      <c r="P154" s="1">
        <v>42591</v>
      </c>
      <c r="Q154">
        <v>98.870002999999997</v>
      </c>
      <c r="R154" s="5">
        <f t="shared" si="23"/>
        <v>0.385831056672371</v>
      </c>
      <c r="U154" s="1">
        <v>42591</v>
      </c>
      <c r="V154">
        <v>6.6</v>
      </c>
      <c r="W154" s="5">
        <f t="shared" si="24"/>
        <v>-1.1976047904191627</v>
      </c>
      <c r="Z154" s="1">
        <v>42591</v>
      </c>
      <c r="AA154">
        <v>40.998984999999998</v>
      </c>
      <c r="AB154" s="5">
        <f t="shared" si="25"/>
        <v>1.5759628258448548</v>
      </c>
      <c r="AE154" s="1">
        <v>42591</v>
      </c>
      <c r="AF154">
        <v>269.35684199999997</v>
      </c>
      <c r="AG154" s="5">
        <f t="shared" si="26"/>
        <v>0.25245185363841438</v>
      </c>
      <c r="AJ154" s="1">
        <v>42591</v>
      </c>
      <c r="AK154">
        <v>64.266509999999997</v>
      </c>
      <c r="AL154" s="5">
        <f t="shared" si="27"/>
        <v>0.63311327093542902</v>
      </c>
      <c r="AO154" s="1">
        <v>42591</v>
      </c>
      <c r="AP154">
        <v>43.993698000000002</v>
      </c>
      <c r="AQ154" s="5">
        <f t="shared" si="28"/>
        <v>0.1332759973035833</v>
      </c>
      <c r="AT154" s="1">
        <v>42591</v>
      </c>
      <c r="AU154">
        <v>172.98211699999999</v>
      </c>
      <c r="AV154" s="5">
        <f t="shared" si="29"/>
        <v>-0.106391339273531</v>
      </c>
    </row>
    <row r="155" spans="1:48" x14ac:dyDescent="0.2">
      <c r="A155" s="1">
        <v>42592</v>
      </c>
      <c r="B155">
        <v>11.687692</v>
      </c>
      <c r="C155" s="5">
        <f t="shared" si="20"/>
        <v>0.91136031286800301</v>
      </c>
      <c r="F155" s="1">
        <v>42592</v>
      </c>
      <c r="G155">
        <v>166.37764000000001</v>
      </c>
      <c r="H155" s="5">
        <f t="shared" si="21"/>
        <v>9.0087168886046495E-2</v>
      </c>
      <c r="K155" s="1">
        <v>42592</v>
      </c>
      <c r="L155">
        <v>110.903778</v>
      </c>
      <c r="M155" s="5">
        <f t="shared" si="22"/>
        <v>0.30120629028665191</v>
      </c>
      <c r="P155" s="1">
        <v>42592</v>
      </c>
      <c r="Q155">
        <v>100.620003</v>
      </c>
      <c r="R155" s="5">
        <f t="shared" si="23"/>
        <v>1.7700009577222324</v>
      </c>
      <c r="U155" s="1">
        <v>42592</v>
      </c>
      <c r="V155">
        <v>6.49</v>
      </c>
      <c r="W155" s="5">
        <f t="shared" si="24"/>
        <v>-1.6666666666666583</v>
      </c>
      <c r="Z155" s="1">
        <v>42592</v>
      </c>
      <c r="AA155">
        <v>40.849894999999997</v>
      </c>
      <c r="AB155" s="5">
        <f t="shared" si="25"/>
        <v>-0.36364314872673326</v>
      </c>
      <c r="AE155" s="1">
        <v>42592</v>
      </c>
      <c r="AF155">
        <v>272.14974999999998</v>
      </c>
      <c r="AG155" s="5">
        <f t="shared" si="26"/>
        <v>1.0368802883425592</v>
      </c>
      <c r="AJ155" s="1">
        <v>42592</v>
      </c>
      <c r="AK155">
        <v>63.948836999999997</v>
      </c>
      <c r="AL155" s="5">
        <f t="shared" si="27"/>
        <v>-0.49430566557916278</v>
      </c>
      <c r="AO155" s="1">
        <v>42592</v>
      </c>
      <c r="AP155">
        <v>43.730201999999998</v>
      </c>
      <c r="AQ155" s="5">
        <f t="shared" si="28"/>
        <v>-0.59894033004455205</v>
      </c>
      <c r="AT155" s="1">
        <v>42592</v>
      </c>
      <c r="AU155">
        <v>173.39909399999999</v>
      </c>
      <c r="AV155" s="5">
        <f t="shared" si="29"/>
        <v>0.24105208517016985</v>
      </c>
    </row>
    <row r="156" spans="1:48" x14ac:dyDescent="0.2">
      <c r="A156" s="1">
        <v>42593</v>
      </c>
      <c r="B156">
        <v>11.745266000000001</v>
      </c>
      <c r="C156" s="5">
        <f t="shared" si="20"/>
        <v>0.49260367230759228</v>
      </c>
      <c r="F156" s="1">
        <v>42593</v>
      </c>
      <c r="G156">
        <v>166.43756099999999</v>
      </c>
      <c r="H156" s="5">
        <f t="shared" si="21"/>
        <v>3.6015055869270861E-2</v>
      </c>
      <c r="K156" s="1">
        <v>42593</v>
      </c>
      <c r="L156">
        <v>111.070297</v>
      </c>
      <c r="M156" s="5">
        <f t="shared" si="22"/>
        <v>0.15014727451394294</v>
      </c>
      <c r="P156" s="1">
        <v>42593</v>
      </c>
      <c r="Q156">
        <v>101.66999800000001</v>
      </c>
      <c r="R156" s="5">
        <f t="shared" si="23"/>
        <v>1.0435251129936955</v>
      </c>
      <c r="U156" s="1">
        <v>42593</v>
      </c>
      <c r="V156">
        <v>6.58</v>
      </c>
      <c r="W156" s="5">
        <f t="shared" si="24"/>
        <v>1.3867488443759608</v>
      </c>
      <c r="Z156" s="1">
        <v>42593</v>
      </c>
      <c r="AA156">
        <v>41.058619999999998</v>
      </c>
      <c r="AB156" s="5">
        <f t="shared" si="25"/>
        <v>0.51095602571316567</v>
      </c>
      <c r="AE156" s="1">
        <v>42593</v>
      </c>
      <c r="AF156">
        <v>274.443939</v>
      </c>
      <c r="AG156" s="5">
        <f t="shared" si="26"/>
        <v>0.84298773010080563</v>
      </c>
      <c r="AJ156" s="1">
        <v>42593</v>
      </c>
      <c r="AK156">
        <v>64.449402000000006</v>
      </c>
      <c r="AL156" s="5">
        <f t="shared" si="27"/>
        <v>0.78275856682117428</v>
      </c>
      <c r="AO156" s="1">
        <v>42593</v>
      </c>
      <c r="AP156">
        <v>43.964416999999997</v>
      </c>
      <c r="AQ156" s="5">
        <f t="shared" si="28"/>
        <v>0.53559094010130337</v>
      </c>
      <c r="AT156" s="1">
        <v>42593</v>
      </c>
      <c r="AU156">
        <v>175.51300000000001</v>
      </c>
      <c r="AV156" s="5">
        <f t="shared" si="29"/>
        <v>1.2190986418879526</v>
      </c>
    </row>
    <row r="157" spans="1:48" x14ac:dyDescent="0.2">
      <c r="A157" s="1">
        <v>42594</v>
      </c>
      <c r="B157">
        <v>11.726073</v>
      </c>
      <c r="C157" s="5">
        <f t="shared" si="20"/>
        <v>-0.16341051790569364</v>
      </c>
      <c r="F157" s="1">
        <v>42594</v>
      </c>
      <c r="G157">
        <v>165.72872899999999</v>
      </c>
      <c r="H157" s="5">
        <f t="shared" si="21"/>
        <v>-0.42588463550003663</v>
      </c>
      <c r="K157" s="1">
        <v>42594</v>
      </c>
      <c r="L157">
        <v>110.71766700000001</v>
      </c>
      <c r="M157" s="5">
        <f t="shared" si="22"/>
        <v>-0.31748362030578769</v>
      </c>
      <c r="P157" s="1">
        <v>42594</v>
      </c>
      <c r="Q157">
        <v>101.040001</v>
      </c>
      <c r="R157" s="5">
        <f t="shared" si="23"/>
        <v>-0.61964887616109032</v>
      </c>
      <c r="U157" s="1">
        <v>42594</v>
      </c>
      <c r="V157">
        <v>6.73</v>
      </c>
      <c r="W157" s="5">
        <f t="shared" si="24"/>
        <v>2.2796352583586681</v>
      </c>
      <c r="Z157" s="1">
        <v>42594</v>
      </c>
      <c r="AA157">
        <v>40.889651999999998</v>
      </c>
      <c r="AB157" s="5">
        <f t="shared" si="25"/>
        <v>-0.41152868752042704</v>
      </c>
      <c r="AE157" s="1">
        <v>42594</v>
      </c>
      <c r="AF157">
        <v>273.38662699999998</v>
      </c>
      <c r="AG157" s="5">
        <f t="shared" si="26"/>
        <v>-0.38525609414169809</v>
      </c>
      <c r="AJ157" s="1">
        <v>42594</v>
      </c>
      <c r="AK157">
        <v>64.680449999999993</v>
      </c>
      <c r="AL157" s="5">
        <f t="shared" si="27"/>
        <v>0.35849518045177053</v>
      </c>
      <c r="AO157" s="1">
        <v>42594</v>
      </c>
      <c r="AP157">
        <v>43.954658999999999</v>
      </c>
      <c r="AQ157" s="5">
        <f t="shared" si="28"/>
        <v>-2.219522210427113E-2</v>
      </c>
      <c r="AT157" s="1">
        <v>42594</v>
      </c>
      <c r="AU157">
        <v>174.80509900000001</v>
      </c>
      <c r="AV157" s="5">
        <f t="shared" si="29"/>
        <v>-0.40333251667967185</v>
      </c>
    </row>
    <row r="158" spans="1:48" x14ac:dyDescent="0.2">
      <c r="A158" s="1">
        <v>42597</v>
      </c>
      <c r="B158">
        <v>11.601330000000001</v>
      </c>
      <c r="C158" s="5">
        <f t="shared" si="20"/>
        <v>-1.0638088301172841</v>
      </c>
      <c r="F158" s="1">
        <v>42597</v>
      </c>
      <c r="G158">
        <v>167.48582500000001</v>
      </c>
      <c r="H158" s="5">
        <f t="shared" si="21"/>
        <v>1.0602241449640386</v>
      </c>
      <c r="K158" s="1">
        <v>42597</v>
      </c>
      <c r="L158">
        <v>111.276009</v>
      </c>
      <c r="M158" s="5">
        <f t="shared" si="22"/>
        <v>0.50429350177690802</v>
      </c>
      <c r="P158" s="1">
        <v>42597</v>
      </c>
      <c r="Q158">
        <v>100.93</v>
      </c>
      <c r="R158" s="5">
        <f t="shared" si="23"/>
        <v>-0.10886876376812081</v>
      </c>
      <c r="U158" s="1">
        <v>42597</v>
      </c>
      <c r="V158">
        <v>6.95</v>
      </c>
      <c r="W158" s="5">
        <f t="shared" si="24"/>
        <v>3.2689450222882575</v>
      </c>
      <c r="Z158" s="1">
        <v>42597</v>
      </c>
      <c r="AA158">
        <v>41.227584999999998</v>
      </c>
      <c r="AB158" s="5">
        <f t="shared" si="25"/>
        <v>0.82645115199317321</v>
      </c>
      <c r="AE158" s="1">
        <v>42597</v>
      </c>
      <c r="AF158">
        <v>275.30178799999999</v>
      </c>
      <c r="AG158" s="5">
        <f t="shared" si="26"/>
        <v>0.70053207101458259</v>
      </c>
      <c r="AJ158" s="1">
        <v>42597</v>
      </c>
      <c r="AK158">
        <v>64.872978000000003</v>
      </c>
      <c r="AL158" s="5">
        <f t="shared" si="27"/>
        <v>0.29766026674213003</v>
      </c>
      <c r="AO158" s="1">
        <v>42597</v>
      </c>
      <c r="AP158">
        <v>44.062012000000003</v>
      </c>
      <c r="AQ158" s="5">
        <f t="shared" si="28"/>
        <v>0.24423577031959992</v>
      </c>
      <c r="AT158" s="1">
        <v>42597</v>
      </c>
      <c r="AU158">
        <v>175.08633399999999</v>
      </c>
      <c r="AV158" s="5">
        <f t="shared" si="29"/>
        <v>0.16088489501097505</v>
      </c>
    </row>
    <row r="159" spans="1:48" x14ac:dyDescent="0.2">
      <c r="A159" s="1">
        <v>42598</v>
      </c>
      <c r="B159">
        <v>11.514965999999999</v>
      </c>
      <c r="C159" s="5">
        <f t="shared" si="20"/>
        <v>-0.74443188841280639</v>
      </c>
      <c r="F159" s="1">
        <v>42598</v>
      </c>
      <c r="G159">
        <v>160.13786300000001</v>
      </c>
      <c r="H159" s="5">
        <f t="shared" si="21"/>
        <v>-4.3872142612665854</v>
      </c>
      <c r="K159" s="1">
        <v>42598</v>
      </c>
      <c r="L159">
        <v>110.66868599999999</v>
      </c>
      <c r="M159" s="5">
        <f t="shared" si="22"/>
        <v>-0.54578071720743337</v>
      </c>
      <c r="P159" s="1">
        <v>42598</v>
      </c>
      <c r="Q159">
        <v>100.599998</v>
      </c>
      <c r="R159" s="5">
        <f t="shared" si="23"/>
        <v>-0.32696126027940892</v>
      </c>
      <c r="U159" s="1">
        <v>42598</v>
      </c>
      <c r="V159">
        <v>6.78</v>
      </c>
      <c r="W159" s="5">
        <f t="shared" si="24"/>
        <v>-2.4460431654676249</v>
      </c>
      <c r="Z159" s="1">
        <v>42598</v>
      </c>
      <c r="AA159">
        <v>39.070793000000002</v>
      </c>
      <c r="AB159" s="5">
        <f t="shared" si="25"/>
        <v>-5.2314293936935572</v>
      </c>
      <c r="AE159" s="1">
        <v>42598</v>
      </c>
      <c r="AF159">
        <v>274.96264600000001</v>
      </c>
      <c r="AG159" s="5">
        <f t="shared" si="26"/>
        <v>-0.12318917449238695</v>
      </c>
      <c r="AJ159" s="1">
        <v>42598</v>
      </c>
      <c r="AK159">
        <v>64.247246000000004</v>
      </c>
      <c r="AL159" s="5">
        <f t="shared" si="27"/>
        <v>-0.9645495232236746</v>
      </c>
      <c r="AO159" s="1">
        <v>42598</v>
      </c>
      <c r="AP159">
        <v>43.837547000000001</v>
      </c>
      <c r="AQ159" s="5">
        <f t="shared" si="28"/>
        <v>-0.50942975550004865</v>
      </c>
      <c r="AT159" s="1">
        <v>42598</v>
      </c>
      <c r="AU159">
        <v>173.81605500000001</v>
      </c>
      <c r="AV159" s="5">
        <f t="shared" si="29"/>
        <v>-0.7255157903985745</v>
      </c>
    </row>
    <row r="160" spans="1:48" x14ac:dyDescent="0.2">
      <c r="A160" s="1">
        <v>42599</v>
      </c>
      <c r="B160">
        <v>11.783647999999999</v>
      </c>
      <c r="C160" s="5">
        <f t="shared" si="20"/>
        <v>2.3333286437840988</v>
      </c>
      <c r="F160" s="1">
        <v>42599</v>
      </c>
      <c r="G160">
        <v>157.791718</v>
      </c>
      <c r="H160" s="5">
        <f t="shared" si="21"/>
        <v>-1.4650782494830763</v>
      </c>
      <c r="K160" s="1">
        <v>42599</v>
      </c>
      <c r="L160">
        <v>110.619713</v>
      </c>
      <c r="M160" s="5">
        <f t="shared" si="22"/>
        <v>-4.4251903379416195E-2</v>
      </c>
      <c r="P160" s="1">
        <v>42599</v>
      </c>
      <c r="Q160">
        <v>99.699996999999996</v>
      </c>
      <c r="R160" s="5">
        <f t="shared" si="23"/>
        <v>-0.8946332185811805</v>
      </c>
      <c r="U160" s="1">
        <v>42599</v>
      </c>
      <c r="V160">
        <v>6.68</v>
      </c>
      <c r="W160" s="5">
        <f t="shared" si="24"/>
        <v>-1.4749262536873233</v>
      </c>
      <c r="Z160" s="1">
        <v>42599</v>
      </c>
      <c r="AA160">
        <v>39.637321</v>
      </c>
      <c r="AB160" s="5">
        <f t="shared" si="25"/>
        <v>1.450003843024118</v>
      </c>
      <c r="AE160" s="1">
        <v>42599</v>
      </c>
      <c r="AF160">
        <v>274.58358800000002</v>
      </c>
      <c r="AG160" s="5">
        <f t="shared" si="26"/>
        <v>-0.13785799835516069</v>
      </c>
      <c r="AJ160" s="1">
        <v>42599</v>
      </c>
      <c r="AK160">
        <v>64.333893000000003</v>
      </c>
      <c r="AL160" s="5">
        <f t="shared" si="27"/>
        <v>0.13486492479381801</v>
      </c>
      <c r="AO160" s="1">
        <v>42599</v>
      </c>
      <c r="AP160">
        <v>43.603335999999999</v>
      </c>
      <c r="AQ160" s="5">
        <f t="shared" si="28"/>
        <v>-0.53427031398449809</v>
      </c>
      <c r="AT160" s="1">
        <v>42599</v>
      </c>
      <c r="AU160">
        <v>175.50404399999999</v>
      </c>
      <c r="AV160" s="5">
        <f t="shared" si="29"/>
        <v>0.97113526135430217</v>
      </c>
    </row>
    <row r="161" spans="1:48" x14ac:dyDescent="0.2">
      <c r="A161" s="1">
        <v>42600</v>
      </c>
      <c r="B161">
        <v>11.994757999999999</v>
      </c>
      <c r="C161" s="5">
        <f t="shared" si="20"/>
        <v>1.7915504604346606</v>
      </c>
      <c r="F161" s="1">
        <v>42600</v>
      </c>
      <c r="G161">
        <v>157.17269899999999</v>
      </c>
      <c r="H161" s="5">
        <f t="shared" si="21"/>
        <v>-0.39230132471211748</v>
      </c>
      <c r="K161" s="1">
        <v>42600</v>
      </c>
      <c r="L161">
        <v>110.051575</v>
      </c>
      <c r="M161" s="5">
        <f t="shared" si="22"/>
        <v>-0.51359561925459407</v>
      </c>
      <c r="P161" s="1">
        <v>42600</v>
      </c>
      <c r="Q161">
        <v>100.66999800000001</v>
      </c>
      <c r="R161" s="5">
        <f t="shared" si="23"/>
        <v>0.972919788553264</v>
      </c>
      <c r="U161" s="1">
        <v>42600</v>
      </c>
      <c r="V161">
        <v>7.04</v>
      </c>
      <c r="W161" s="5">
        <f t="shared" si="24"/>
        <v>5.3892215568862323</v>
      </c>
      <c r="Z161" s="1">
        <v>42600</v>
      </c>
      <c r="AA161">
        <v>39.776470000000003</v>
      </c>
      <c r="AB161" s="5">
        <f t="shared" si="25"/>
        <v>0.35105551154681547</v>
      </c>
      <c r="AE161" s="1">
        <v>42600</v>
      </c>
      <c r="AF161">
        <v>277.08724999999998</v>
      </c>
      <c r="AG161" s="5">
        <f t="shared" si="26"/>
        <v>0.91180322110146028</v>
      </c>
      <c r="AJ161" s="1">
        <v>42600</v>
      </c>
      <c r="AK161">
        <v>64.276122999999998</v>
      </c>
      <c r="AL161" s="5">
        <f t="shared" si="27"/>
        <v>-8.9797146272502085E-2</v>
      </c>
      <c r="AO161" s="1">
        <v>42600</v>
      </c>
      <c r="AP161">
        <v>43.291046000000001</v>
      </c>
      <c r="AQ161" s="5">
        <f t="shared" si="28"/>
        <v>-0.71620666822372792</v>
      </c>
      <c r="AT161" s="1">
        <v>42600</v>
      </c>
      <c r="AU161">
        <v>174.83078</v>
      </c>
      <c r="AV161" s="5">
        <f t="shared" si="29"/>
        <v>-0.38361737123276146</v>
      </c>
    </row>
    <row r="162" spans="1:48" x14ac:dyDescent="0.2">
      <c r="A162" s="1">
        <v>42601</v>
      </c>
      <c r="B162">
        <v>11.726073</v>
      </c>
      <c r="C162" s="5">
        <f t="shared" si="20"/>
        <v>-2.240020182149566</v>
      </c>
      <c r="F162" s="1">
        <v>42601</v>
      </c>
      <c r="G162">
        <v>157.78170800000001</v>
      </c>
      <c r="H162" s="5">
        <f t="shared" si="21"/>
        <v>0.38747759876542848</v>
      </c>
      <c r="K162" s="1">
        <v>42601</v>
      </c>
      <c r="L162">
        <v>110.73725899999999</v>
      </c>
      <c r="M162" s="5">
        <f t="shared" si="22"/>
        <v>0.62305696215614803</v>
      </c>
      <c r="P162" s="1">
        <v>42601</v>
      </c>
      <c r="Q162">
        <v>100.32</v>
      </c>
      <c r="R162" s="5">
        <f t="shared" si="23"/>
        <v>-0.34766862715147123</v>
      </c>
      <c r="U162" s="1">
        <v>42601</v>
      </c>
      <c r="V162">
        <v>7.62</v>
      </c>
      <c r="W162" s="5">
        <f t="shared" si="24"/>
        <v>8.2386363636363651</v>
      </c>
      <c r="Z162" s="1">
        <v>42601</v>
      </c>
      <c r="AA162">
        <v>39.736713000000002</v>
      </c>
      <c r="AB162" s="5">
        <f t="shared" si="25"/>
        <v>-9.9951051463344015E-2</v>
      </c>
      <c r="AE162" s="1">
        <v>42601</v>
      </c>
      <c r="AF162">
        <v>276.85778800000003</v>
      </c>
      <c r="AG162" s="5">
        <f t="shared" si="26"/>
        <v>-8.2812182805219459E-2</v>
      </c>
      <c r="AJ162" s="1">
        <v>42601</v>
      </c>
      <c r="AK162">
        <v>64.593802999999994</v>
      </c>
      <c r="AL162" s="5">
        <f t="shared" si="27"/>
        <v>0.49424262879078096</v>
      </c>
      <c r="AO162" s="1">
        <v>42601</v>
      </c>
      <c r="AP162">
        <v>43.173938999999997</v>
      </c>
      <c r="AQ162" s="5">
        <f t="shared" si="28"/>
        <v>-0.27051090426413882</v>
      </c>
      <c r="AT162" s="1">
        <v>42601</v>
      </c>
      <c r="AU162">
        <v>175.25036600000001</v>
      </c>
      <c r="AV162" s="5">
        <f t="shared" si="29"/>
        <v>0.23999549736036732</v>
      </c>
    </row>
    <row r="163" spans="1:48" x14ac:dyDescent="0.2">
      <c r="A163" s="1">
        <v>42604</v>
      </c>
      <c r="B163">
        <v>11.793244</v>
      </c>
      <c r="C163" s="5">
        <f t="shared" si="20"/>
        <v>0.57283457130106641</v>
      </c>
      <c r="F163" s="1">
        <v>42604</v>
      </c>
      <c r="G163">
        <v>158.21101400000001</v>
      </c>
      <c r="H163" s="5">
        <f t="shared" si="21"/>
        <v>0.27208857442460749</v>
      </c>
      <c r="K163" s="1">
        <v>42604</v>
      </c>
      <c r="L163">
        <v>111.432732</v>
      </c>
      <c r="M163" s="5">
        <f t="shared" si="22"/>
        <v>0.62803884282525624</v>
      </c>
      <c r="P163" s="1">
        <v>42604</v>
      </c>
      <c r="Q163">
        <v>100.239998</v>
      </c>
      <c r="R163" s="5">
        <f t="shared" si="23"/>
        <v>-7.9746810207329794E-2</v>
      </c>
      <c r="U163" s="1">
        <v>42604</v>
      </c>
      <c r="V163">
        <v>7.58</v>
      </c>
      <c r="W163" s="5">
        <f t="shared" si="24"/>
        <v>-0.52493438320210017</v>
      </c>
      <c r="Z163" s="1">
        <v>42604</v>
      </c>
      <c r="AA163">
        <v>39.875858000000001</v>
      </c>
      <c r="AB163" s="5">
        <f t="shared" si="25"/>
        <v>0.3501673628616418</v>
      </c>
      <c r="AE163" s="1">
        <v>42604</v>
      </c>
      <c r="AF163">
        <v>276.83789100000001</v>
      </c>
      <c r="AG163" s="5">
        <f t="shared" si="26"/>
        <v>-7.1867221593255254E-3</v>
      </c>
      <c r="AJ163" s="1">
        <v>42604</v>
      </c>
      <c r="AK163">
        <v>64.507171999999997</v>
      </c>
      <c r="AL163" s="5">
        <f t="shared" si="27"/>
        <v>-0.13411658081193489</v>
      </c>
      <c r="AO163" s="1">
        <v>42604</v>
      </c>
      <c r="AP163">
        <v>43.105620999999999</v>
      </c>
      <c r="AQ163" s="5">
        <f t="shared" si="28"/>
        <v>-0.15823897837998493</v>
      </c>
      <c r="AT163" s="1">
        <v>42604</v>
      </c>
      <c r="AU163">
        <v>174.723465</v>
      </c>
      <c r="AV163" s="5">
        <f t="shared" si="29"/>
        <v>-0.30065614813038927</v>
      </c>
    </row>
    <row r="164" spans="1:48" x14ac:dyDescent="0.2">
      <c r="A164" s="1">
        <v>42605</v>
      </c>
      <c r="B164">
        <v>11.687692</v>
      </c>
      <c r="C164" s="5">
        <f t="shared" si="20"/>
        <v>-0.89502091197298583</v>
      </c>
      <c r="F164" s="1">
        <v>42605</v>
      </c>
      <c r="G164">
        <v>157.68188499999999</v>
      </c>
      <c r="H164" s="5">
        <f t="shared" si="21"/>
        <v>-0.33444511012363004</v>
      </c>
      <c r="K164" s="1">
        <v>42605</v>
      </c>
      <c r="L164">
        <v>113.117546</v>
      </c>
      <c r="M164" s="5">
        <f t="shared" si="22"/>
        <v>1.5119561099875061</v>
      </c>
      <c r="P164" s="1">
        <v>42605</v>
      </c>
      <c r="Q164">
        <v>101.139999</v>
      </c>
      <c r="R164" s="5">
        <f t="shared" si="23"/>
        <v>0.89784618710786801</v>
      </c>
      <c r="U164" s="1">
        <v>42605</v>
      </c>
      <c r="V164">
        <v>7.67</v>
      </c>
      <c r="W164" s="5">
        <f t="shared" si="24"/>
        <v>1.187335092348283</v>
      </c>
      <c r="Z164" s="1">
        <v>42605</v>
      </c>
      <c r="AA164">
        <v>40.392696000000001</v>
      </c>
      <c r="AB164" s="5">
        <f t="shared" si="25"/>
        <v>1.2961175656709378</v>
      </c>
      <c r="AE164" s="1">
        <v>42605</v>
      </c>
      <c r="AF164">
        <v>278.44381700000002</v>
      </c>
      <c r="AG164" s="5">
        <f t="shared" si="26"/>
        <v>0.58009616898866301</v>
      </c>
      <c r="AJ164" s="1">
        <v>42605</v>
      </c>
      <c r="AK164">
        <v>63.698540000000001</v>
      </c>
      <c r="AL164" s="5">
        <f t="shared" si="27"/>
        <v>-1.2535536358654753</v>
      </c>
      <c r="AO164" s="1">
        <v>42605</v>
      </c>
      <c r="AP164">
        <v>42.842132999999997</v>
      </c>
      <c r="AQ164" s="5">
        <f t="shared" si="28"/>
        <v>-0.61126134802698329</v>
      </c>
      <c r="AT164" s="1">
        <v>42605</v>
      </c>
      <c r="AU164">
        <v>175.40649400000001</v>
      </c>
      <c r="AV164" s="5">
        <f t="shared" si="29"/>
        <v>0.39092001752598299</v>
      </c>
    </row>
    <row r="165" spans="1:48" x14ac:dyDescent="0.2">
      <c r="A165" s="1">
        <v>42606</v>
      </c>
      <c r="B165">
        <v>11.591733</v>
      </c>
      <c r="C165" s="5">
        <f t="shared" si="20"/>
        <v>-0.82102608453406001</v>
      </c>
      <c r="F165" s="1">
        <v>42606</v>
      </c>
      <c r="G165">
        <v>160.09793099999999</v>
      </c>
      <c r="H165" s="5">
        <f t="shared" si="21"/>
        <v>1.5322280045041283</v>
      </c>
      <c r="K165" s="1">
        <v>42606</v>
      </c>
      <c r="L165">
        <v>112.226158</v>
      </c>
      <c r="M165" s="5">
        <f t="shared" si="22"/>
        <v>-0.78801921675352316</v>
      </c>
      <c r="P165" s="1">
        <v>42606</v>
      </c>
      <c r="Q165">
        <v>101.139999</v>
      </c>
      <c r="R165" s="5">
        <f t="shared" si="23"/>
        <v>0</v>
      </c>
      <c r="U165" s="1">
        <v>42606</v>
      </c>
      <c r="V165">
        <v>7.43</v>
      </c>
      <c r="W165" s="5">
        <f t="shared" si="24"/>
        <v>-3.1290743155149965</v>
      </c>
      <c r="Z165" s="1">
        <v>42606</v>
      </c>
      <c r="AA165">
        <v>40.422511999999998</v>
      </c>
      <c r="AB165" s="5">
        <f t="shared" si="25"/>
        <v>7.3815325424172559E-2</v>
      </c>
      <c r="AE165" s="1">
        <v>42606</v>
      </c>
      <c r="AF165">
        <v>274.63345299999997</v>
      </c>
      <c r="AG165" s="5">
        <f t="shared" si="26"/>
        <v>-1.3684498514111554</v>
      </c>
      <c r="AJ165" s="1">
        <v>42606</v>
      </c>
      <c r="AK165">
        <v>62.630004999999997</v>
      </c>
      <c r="AL165" s="5">
        <f t="shared" si="27"/>
        <v>-1.6774874274983449</v>
      </c>
      <c r="AO165" s="1">
        <v>42606</v>
      </c>
      <c r="AP165">
        <v>42.129722999999998</v>
      </c>
      <c r="AQ165" s="5">
        <f t="shared" si="28"/>
        <v>-1.6628723877963745</v>
      </c>
      <c r="AT165" s="1">
        <v>42606</v>
      </c>
      <c r="AU165">
        <v>175.055206</v>
      </c>
      <c r="AV165" s="5">
        <f t="shared" si="29"/>
        <v>-0.20027080639329745</v>
      </c>
    </row>
    <row r="166" spans="1:48" x14ac:dyDescent="0.2">
      <c r="A166" s="1">
        <v>42607</v>
      </c>
      <c r="B166">
        <v>11.620520000000001</v>
      </c>
      <c r="C166" s="5">
        <f t="shared" si="20"/>
        <v>0.24834077872567653</v>
      </c>
      <c r="F166" s="1">
        <v>42607</v>
      </c>
      <c r="G166">
        <v>159.918228</v>
      </c>
      <c r="H166" s="5">
        <f t="shared" si="21"/>
        <v>-0.11224567293126936</v>
      </c>
      <c r="K166" s="1">
        <v>42607</v>
      </c>
      <c r="L166">
        <v>112.68654600000001</v>
      </c>
      <c r="M166" s="5">
        <f t="shared" si="22"/>
        <v>0.41023234529690389</v>
      </c>
      <c r="P166" s="1">
        <v>42607</v>
      </c>
      <c r="Q166">
        <v>101.69000200000001</v>
      </c>
      <c r="R166" s="5">
        <f t="shared" si="23"/>
        <v>0.54380364389760749</v>
      </c>
      <c r="U166" s="1">
        <v>42607</v>
      </c>
      <c r="V166">
        <v>7.47</v>
      </c>
      <c r="W166" s="5">
        <f t="shared" si="24"/>
        <v>0.5383580080753706</v>
      </c>
      <c r="Z166" s="1">
        <v>42607</v>
      </c>
      <c r="AA166">
        <v>40.740569999999998</v>
      </c>
      <c r="AB166" s="5">
        <f t="shared" si="25"/>
        <v>0.7868338316035397</v>
      </c>
      <c r="AE166" s="1">
        <v>42607</v>
      </c>
      <c r="AF166">
        <v>273.01754799999998</v>
      </c>
      <c r="AG166" s="5">
        <f t="shared" si="26"/>
        <v>-0.58838607691394318</v>
      </c>
      <c r="AJ166" s="1">
        <v>42607</v>
      </c>
      <c r="AK166">
        <v>62.302703999999999</v>
      </c>
      <c r="AL166" s="5">
        <f t="shared" si="27"/>
        <v>-0.52259456150450334</v>
      </c>
      <c r="AO166" s="1">
        <v>42607</v>
      </c>
      <c r="AP166">
        <v>41.807673999999999</v>
      </c>
      <c r="AQ166" s="5">
        <f t="shared" si="28"/>
        <v>-0.76442230583856396</v>
      </c>
      <c r="AT166" s="1">
        <v>42607</v>
      </c>
      <c r="AU166">
        <v>175.22110000000001</v>
      </c>
      <c r="AV166" s="5">
        <f t="shared" si="29"/>
        <v>9.4766676062183863E-2</v>
      </c>
    </row>
    <row r="167" spans="1:48" x14ac:dyDescent="0.2">
      <c r="A167" s="1">
        <v>42608</v>
      </c>
      <c r="B167">
        <v>11.534159000000001</v>
      </c>
      <c r="C167" s="5">
        <f t="shared" si="20"/>
        <v>-0.74317672531005607</v>
      </c>
      <c r="F167" s="1">
        <v>42608</v>
      </c>
      <c r="G167">
        <v>156.5737</v>
      </c>
      <c r="H167" s="5">
        <f t="shared" si="21"/>
        <v>-2.0913988616732277</v>
      </c>
      <c r="K167" s="1">
        <v>42608</v>
      </c>
      <c r="L167">
        <v>112.84326900000001</v>
      </c>
      <c r="M167" s="5">
        <f t="shared" si="22"/>
        <v>0.13907871486273038</v>
      </c>
      <c r="P167" s="1">
        <v>42608</v>
      </c>
      <c r="Q167">
        <v>102.05999799999999</v>
      </c>
      <c r="R167" s="5">
        <f t="shared" si="23"/>
        <v>0.36384697878163696</v>
      </c>
      <c r="U167" s="1">
        <v>42608</v>
      </c>
      <c r="V167">
        <v>7.67</v>
      </c>
      <c r="W167" s="5">
        <f t="shared" si="24"/>
        <v>2.6773761713520772</v>
      </c>
      <c r="Z167" s="1">
        <v>42608</v>
      </c>
      <c r="AA167">
        <v>40.800201000000001</v>
      </c>
      <c r="AB167" s="5">
        <f t="shared" si="25"/>
        <v>0.14636761341336929</v>
      </c>
      <c r="AE167" s="1">
        <v>42608</v>
      </c>
      <c r="AF167">
        <v>272.36920199999997</v>
      </c>
      <c r="AG167" s="5">
        <f t="shared" si="26"/>
        <v>-0.23747411283614769</v>
      </c>
      <c r="AJ167" s="1">
        <v>42608</v>
      </c>
      <c r="AK167">
        <v>62.196807999999997</v>
      </c>
      <c r="AL167" s="5">
        <f t="shared" si="27"/>
        <v>-0.16997015089425543</v>
      </c>
      <c r="AO167" s="1">
        <v>42608</v>
      </c>
      <c r="AP167">
        <v>41.944298000000003</v>
      </c>
      <c r="AQ167" s="5">
        <f t="shared" si="28"/>
        <v>0.32679167944144594</v>
      </c>
      <c r="AT167" s="1">
        <v>42608</v>
      </c>
      <c r="AU167">
        <v>175.055206</v>
      </c>
      <c r="AV167" s="5">
        <f t="shared" si="29"/>
        <v>-9.4676953860013804E-2</v>
      </c>
    </row>
    <row r="168" spans="1:48" x14ac:dyDescent="0.2">
      <c r="A168" s="1">
        <v>42611</v>
      </c>
      <c r="B168">
        <v>11.658904</v>
      </c>
      <c r="C168" s="5">
        <f t="shared" si="20"/>
        <v>1.0815266201896383</v>
      </c>
      <c r="F168" s="1">
        <v>42611</v>
      </c>
      <c r="G168">
        <v>157.41232299999999</v>
      </c>
      <c r="H168" s="5">
        <f t="shared" si="21"/>
        <v>0.53560910932039296</v>
      </c>
      <c r="K168" s="1">
        <v>42611</v>
      </c>
      <c r="L168">
        <v>112.500435</v>
      </c>
      <c r="M168" s="5">
        <f t="shared" si="22"/>
        <v>-0.30381431080307547</v>
      </c>
      <c r="P168" s="1">
        <v>42611</v>
      </c>
      <c r="Q168">
        <v>102.300003</v>
      </c>
      <c r="R168" s="5">
        <f t="shared" si="23"/>
        <v>0.23516069439861315</v>
      </c>
      <c r="U168" s="1">
        <v>42611</v>
      </c>
      <c r="V168">
        <v>7.59</v>
      </c>
      <c r="W168" s="5">
        <f t="shared" si="24"/>
        <v>-1.0430247718383321</v>
      </c>
      <c r="Z168" s="1">
        <v>42611</v>
      </c>
      <c r="AA168">
        <v>41.038741999999999</v>
      </c>
      <c r="AB168" s="5">
        <f t="shared" si="25"/>
        <v>0.58465643343276141</v>
      </c>
      <c r="AE168" s="1">
        <v>42611</v>
      </c>
      <c r="AF168">
        <v>274.07486</v>
      </c>
      <c r="AG168" s="5">
        <f t="shared" si="26"/>
        <v>0.6262301271492613</v>
      </c>
      <c r="AJ168" s="1">
        <v>42611</v>
      </c>
      <c r="AK168">
        <v>62.100548000000003</v>
      </c>
      <c r="AL168" s="5">
        <f t="shared" si="27"/>
        <v>-0.15476678481634265</v>
      </c>
      <c r="AO168" s="1">
        <v>42611</v>
      </c>
      <c r="AP168">
        <v>42.207794</v>
      </c>
      <c r="AQ168" s="5">
        <f t="shared" si="28"/>
        <v>0.62820457741358882</v>
      </c>
      <c r="AT168" s="1">
        <v>42611</v>
      </c>
      <c r="AU168">
        <v>176.11874399999999</v>
      </c>
      <c r="AV168" s="5">
        <f t="shared" si="29"/>
        <v>0.60754434232592558</v>
      </c>
    </row>
    <row r="169" spans="1:48" x14ac:dyDescent="0.2">
      <c r="A169" s="1">
        <v>42612</v>
      </c>
      <c r="B169">
        <v>11.534159000000001</v>
      </c>
      <c r="C169" s="5">
        <f t="shared" si="20"/>
        <v>-1.0699547744796509</v>
      </c>
      <c r="F169" s="1">
        <v>42612</v>
      </c>
      <c r="G169">
        <v>156.40399199999999</v>
      </c>
      <c r="H169" s="5">
        <f t="shared" si="21"/>
        <v>-0.64056674902129385</v>
      </c>
      <c r="K169" s="1">
        <v>42612</v>
      </c>
      <c r="L169">
        <v>112.99020400000001</v>
      </c>
      <c r="M169" s="5">
        <f t="shared" si="22"/>
        <v>0.43534853887454722</v>
      </c>
      <c r="P169" s="1">
        <v>42612</v>
      </c>
      <c r="Q169">
        <v>102</v>
      </c>
      <c r="R169" s="5">
        <f t="shared" si="23"/>
        <v>-0.29325805591618975</v>
      </c>
      <c r="U169" s="1">
        <v>42612</v>
      </c>
      <c r="V169">
        <v>7.49</v>
      </c>
      <c r="W169" s="5">
        <f t="shared" si="24"/>
        <v>-1.3175230566534868</v>
      </c>
      <c r="Z169" s="1">
        <v>42612</v>
      </c>
      <c r="AA169">
        <v>41.326976999999999</v>
      </c>
      <c r="AB169" s="5">
        <f t="shared" si="25"/>
        <v>0.70234852715514584</v>
      </c>
      <c r="AE169" s="1">
        <v>42612</v>
      </c>
      <c r="AF169">
        <v>276.41891500000003</v>
      </c>
      <c r="AG169" s="5">
        <f t="shared" si="26"/>
        <v>0.85526085829252119</v>
      </c>
      <c r="AJ169" s="1">
        <v>42612</v>
      </c>
      <c r="AK169">
        <v>61.763618000000001</v>
      </c>
      <c r="AL169" s="5">
        <f t="shared" si="27"/>
        <v>-0.54255559870422143</v>
      </c>
      <c r="AO169" s="1">
        <v>42612</v>
      </c>
      <c r="AP169">
        <v>41.797916000000001</v>
      </c>
      <c r="AQ169" s="5">
        <f t="shared" si="28"/>
        <v>-0.97109552799655696</v>
      </c>
      <c r="AT169" s="1">
        <v>42612</v>
      </c>
      <c r="AU169">
        <v>175.777252</v>
      </c>
      <c r="AV169" s="5">
        <f t="shared" si="29"/>
        <v>-0.19389872550986859</v>
      </c>
    </row>
    <row r="170" spans="1:48" x14ac:dyDescent="0.2">
      <c r="A170" s="1">
        <v>42613</v>
      </c>
      <c r="B170">
        <v>11.582136999999999</v>
      </c>
      <c r="C170" s="5">
        <f t="shared" si="20"/>
        <v>0.41596444092715168</v>
      </c>
      <c r="F170" s="1">
        <v>42613</v>
      </c>
      <c r="G170">
        <v>157.122818</v>
      </c>
      <c r="H170" s="5">
        <f t="shared" si="21"/>
        <v>0.45959568602315926</v>
      </c>
      <c r="K170" s="1">
        <v>42613</v>
      </c>
      <c r="L170">
        <v>112.647362</v>
      </c>
      <c r="M170" s="5">
        <f t="shared" si="22"/>
        <v>-0.30342630410686272</v>
      </c>
      <c r="P170" s="1">
        <v>42613</v>
      </c>
      <c r="Q170">
        <v>102.30999799999999</v>
      </c>
      <c r="R170" s="5">
        <f t="shared" si="23"/>
        <v>0.30391960784313049</v>
      </c>
      <c r="U170" s="1">
        <v>42613</v>
      </c>
      <c r="V170">
        <v>7.4</v>
      </c>
      <c r="W170" s="5">
        <f t="shared" si="24"/>
        <v>-1.2016021361815736</v>
      </c>
      <c r="Z170" s="1">
        <v>42613</v>
      </c>
      <c r="AA170">
        <v>41.118251999999998</v>
      </c>
      <c r="AB170" s="5">
        <f t="shared" si="25"/>
        <v>-0.50505750759365042</v>
      </c>
      <c r="AE170" s="1">
        <v>42613</v>
      </c>
      <c r="AF170">
        <v>274.42401100000001</v>
      </c>
      <c r="AG170" s="5">
        <f t="shared" si="26"/>
        <v>-0.72169590854519472</v>
      </c>
      <c r="AJ170" s="1">
        <v>42613</v>
      </c>
      <c r="AK170">
        <v>61.705855999999997</v>
      </c>
      <c r="AL170" s="5">
        <f t="shared" si="27"/>
        <v>-9.3521075789316399E-2</v>
      </c>
      <c r="AO170" s="1">
        <v>42613</v>
      </c>
      <c r="AP170">
        <v>41.007435000000001</v>
      </c>
      <c r="AQ170" s="5">
        <f t="shared" si="28"/>
        <v>-1.8911971592076497</v>
      </c>
      <c r="AT170" s="1">
        <v>42613</v>
      </c>
      <c r="AU170">
        <v>174.889343</v>
      </c>
      <c r="AV170" s="5">
        <f t="shared" si="29"/>
        <v>-0.50513305328041402</v>
      </c>
    </row>
    <row r="171" spans="1:48" x14ac:dyDescent="0.2">
      <c r="A171" s="1">
        <v>42614</v>
      </c>
      <c r="B171">
        <v>11.524563000000001</v>
      </c>
      <c r="C171" s="5">
        <f t="shared" si="20"/>
        <v>-0.49709306667671865</v>
      </c>
      <c r="F171" s="1">
        <v>42614</v>
      </c>
      <c r="G171">
        <v>158.50054900000001</v>
      </c>
      <c r="H171" s="5">
        <f t="shared" si="21"/>
        <v>0.87684972656231985</v>
      </c>
      <c r="K171" s="1">
        <v>42614</v>
      </c>
      <c r="L171">
        <v>112.70613899999999</v>
      </c>
      <c r="M171" s="5">
        <f t="shared" si="22"/>
        <v>5.217787523510057E-2</v>
      </c>
      <c r="P171" s="1">
        <v>42614</v>
      </c>
      <c r="Q171">
        <v>102.900002</v>
      </c>
      <c r="R171" s="5">
        <f t="shared" si="23"/>
        <v>0.57668264249209311</v>
      </c>
      <c r="U171" s="1">
        <v>42614</v>
      </c>
      <c r="V171">
        <v>7.35</v>
      </c>
      <c r="W171" s="5">
        <f t="shared" si="24"/>
        <v>-0.67567567567568521</v>
      </c>
      <c r="Z171" s="1">
        <v>42614</v>
      </c>
      <c r="AA171">
        <v>41.893509000000002</v>
      </c>
      <c r="AB171" s="5">
        <f t="shared" si="25"/>
        <v>1.8854327756929052</v>
      </c>
      <c r="AE171" s="1">
        <v>42614</v>
      </c>
      <c r="AF171">
        <v>273.38662699999998</v>
      </c>
      <c r="AG171" s="5">
        <f t="shared" si="26"/>
        <v>-0.37802231525579999</v>
      </c>
      <c r="AJ171" s="1">
        <v>42614</v>
      </c>
      <c r="AK171">
        <v>61.638469999999998</v>
      </c>
      <c r="AL171" s="5">
        <f t="shared" si="27"/>
        <v>-0.10920519439840372</v>
      </c>
      <c r="AO171" s="1">
        <v>42614</v>
      </c>
      <c r="AP171">
        <v>41.280684999999998</v>
      </c>
      <c r="AQ171" s="5">
        <f t="shared" si="28"/>
        <v>0.66634257909571115</v>
      </c>
      <c r="AT171" s="1">
        <v>42614</v>
      </c>
      <c r="AU171">
        <v>175.61137400000001</v>
      </c>
      <c r="AV171" s="5">
        <f t="shared" si="29"/>
        <v>0.41285019865390854</v>
      </c>
    </row>
    <row r="172" spans="1:48" x14ac:dyDescent="0.2">
      <c r="A172" s="1">
        <v>42615</v>
      </c>
      <c r="B172">
        <v>11.735670000000001</v>
      </c>
      <c r="C172" s="5">
        <f t="shared" si="20"/>
        <v>1.8318004769465026</v>
      </c>
      <c r="F172" s="1">
        <v>42615</v>
      </c>
      <c r="G172">
        <v>158.310867</v>
      </c>
      <c r="H172" s="5">
        <f t="shared" si="21"/>
        <v>-0.11967277160661745</v>
      </c>
      <c r="K172" s="1">
        <v>42615</v>
      </c>
      <c r="L172">
        <v>113.293869</v>
      </c>
      <c r="M172" s="5">
        <f t="shared" si="22"/>
        <v>0.52147115074184891</v>
      </c>
      <c r="P172" s="1">
        <v>42615</v>
      </c>
      <c r="Q172">
        <v>103.57</v>
      </c>
      <c r="R172" s="5">
        <f t="shared" si="23"/>
        <v>0.65111563360318736</v>
      </c>
      <c r="U172" s="1">
        <v>42615</v>
      </c>
      <c r="V172">
        <v>7.51</v>
      </c>
      <c r="W172" s="5">
        <f t="shared" si="24"/>
        <v>2.1768707482993217</v>
      </c>
      <c r="Z172" s="1">
        <v>42615</v>
      </c>
      <c r="AA172">
        <v>42.539551000000003</v>
      </c>
      <c r="AB172" s="5">
        <f t="shared" si="25"/>
        <v>1.5421052459463382</v>
      </c>
      <c r="AE172" s="1">
        <v>42615</v>
      </c>
      <c r="AF172">
        <v>273.30682400000001</v>
      </c>
      <c r="AG172" s="5">
        <f t="shared" si="26"/>
        <v>-2.9190528035583058E-2</v>
      </c>
      <c r="AJ172" s="1">
        <v>42615</v>
      </c>
      <c r="AK172">
        <v>61.725116999999997</v>
      </c>
      <c r="AL172" s="5">
        <f t="shared" si="27"/>
        <v>0.14057292466863511</v>
      </c>
      <c r="AO172" s="1">
        <v>42615</v>
      </c>
      <c r="AP172">
        <v>41.075747999999997</v>
      </c>
      <c r="AQ172" s="5">
        <f t="shared" si="28"/>
        <v>-0.49644767280388163</v>
      </c>
      <c r="AT172" s="1">
        <v>42615</v>
      </c>
      <c r="AU172">
        <v>176.421234</v>
      </c>
      <c r="AV172" s="5">
        <f t="shared" si="29"/>
        <v>0.46116602902952408</v>
      </c>
    </row>
    <row r="173" spans="1:48" x14ac:dyDescent="0.2">
      <c r="A173" s="1">
        <v>42619</v>
      </c>
      <c r="B173">
        <v>12.321014</v>
      </c>
      <c r="C173" s="5">
        <f t="shared" si="20"/>
        <v>4.987733976841537</v>
      </c>
      <c r="F173" s="1">
        <v>42619</v>
      </c>
      <c r="G173">
        <v>159.87829600000001</v>
      </c>
      <c r="H173" s="5">
        <f t="shared" si="21"/>
        <v>0.99009564517134763</v>
      </c>
      <c r="K173" s="1">
        <v>42619</v>
      </c>
      <c r="L173">
        <v>113</v>
      </c>
      <c r="M173" s="5">
        <f t="shared" si="22"/>
        <v>-0.25938649866393104</v>
      </c>
      <c r="P173" s="1">
        <v>42619</v>
      </c>
      <c r="Q173">
        <v>103.5</v>
      </c>
      <c r="R173" s="5">
        <f t="shared" si="23"/>
        <v>-6.7587139132946977E-2</v>
      </c>
      <c r="U173" s="1">
        <v>42619</v>
      </c>
      <c r="V173">
        <v>7.34</v>
      </c>
      <c r="W173" s="5">
        <f t="shared" si="24"/>
        <v>-2.263648468708388</v>
      </c>
      <c r="Z173" s="1">
        <v>42619</v>
      </c>
      <c r="AA173">
        <v>43.245232000000001</v>
      </c>
      <c r="AB173" s="5">
        <f t="shared" si="25"/>
        <v>1.6588821071477657</v>
      </c>
      <c r="AE173" s="1">
        <v>42619</v>
      </c>
      <c r="AF173">
        <v>271.41162100000003</v>
      </c>
      <c r="AG173" s="5">
        <f t="shared" si="26"/>
        <v>-0.69343420418949397</v>
      </c>
      <c r="AJ173" s="1">
        <v>42619</v>
      </c>
      <c r="AK173">
        <v>62.196807999999997</v>
      </c>
      <c r="AL173" s="5">
        <f t="shared" si="27"/>
        <v>0.764180001473306</v>
      </c>
      <c r="AO173" s="1">
        <v>42619</v>
      </c>
      <c r="AP173">
        <v>41.144061999999998</v>
      </c>
      <c r="AQ173" s="5">
        <f t="shared" si="28"/>
        <v>0.16631224828821345</v>
      </c>
      <c r="AT173" s="1">
        <v>42619</v>
      </c>
      <c r="AU173">
        <v>176.07974200000001</v>
      </c>
      <c r="AV173" s="5">
        <f t="shared" si="29"/>
        <v>-0.19356626878598307</v>
      </c>
    </row>
    <row r="174" spans="1:48" x14ac:dyDescent="0.2">
      <c r="A174" s="1">
        <v>42620</v>
      </c>
      <c r="B174">
        <v>12.503334000000001</v>
      </c>
      <c r="C174" s="5">
        <f t="shared" si="20"/>
        <v>1.47974833889484</v>
      </c>
      <c r="F174" s="1">
        <v>42620</v>
      </c>
      <c r="G174">
        <v>161.61546300000001</v>
      </c>
      <c r="H174" s="5">
        <f t="shared" si="21"/>
        <v>1.0865558637177366</v>
      </c>
      <c r="K174" s="1">
        <v>42620</v>
      </c>
      <c r="L174">
        <v>112.764915</v>
      </c>
      <c r="M174" s="5">
        <f t="shared" si="22"/>
        <v>-0.20803982300884777</v>
      </c>
      <c r="P174" s="1">
        <v>42620</v>
      </c>
      <c r="Q174">
        <v>103</v>
      </c>
      <c r="R174" s="5">
        <f t="shared" si="23"/>
        <v>-0.48309178743961351</v>
      </c>
      <c r="U174" s="1">
        <v>42620</v>
      </c>
      <c r="V174">
        <v>6.84</v>
      </c>
      <c r="W174" s="5">
        <f t="shared" si="24"/>
        <v>-6.8119891008174394</v>
      </c>
      <c r="Z174" s="1">
        <v>42620</v>
      </c>
      <c r="AA174">
        <v>43.116024000000003</v>
      </c>
      <c r="AB174" s="5">
        <f t="shared" si="25"/>
        <v>-0.2987797591188745</v>
      </c>
      <c r="AE174" s="1">
        <v>42620</v>
      </c>
      <c r="AF174">
        <v>269.815674</v>
      </c>
      <c r="AG174" s="5">
        <f t="shared" si="26"/>
        <v>-0.58801719473906522</v>
      </c>
      <c r="AJ174" s="1">
        <v>42620</v>
      </c>
      <c r="AK174">
        <v>62.543362000000002</v>
      </c>
      <c r="AL174" s="5">
        <f t="shared" si="27"/>
        <v>0.55718936573080202</v>
      </c>
      <c r="AO174" s="1">
        <v>42620</v>
      </c>
      <c r="AP174">
        <v>40.890326999999999</v>
      </c>
      <c r="AQ174" s="5">
        <f t="shared" si="28"/>
        <v>-0.6166989540313228</v>
      </c>
      <c r="AT174" s="1">
        <v>42620</v>
      </c>
      <c r="AU174">
        <v>175.38694799999999</v>
      </c>
      <c r="AV174" s="5">
        <f t="shared" si="29"/>
        <v>-0.39345468827414604</v>
      </c>
    </row>
    <row r="175" spans="1:48" x14ac:dyDescent="0.2">
      <c r="A175" s="1">
        <v>42621</v>
      </c>
      <c r="B175">
        <v>12.426568</v>
      </c>
      <c r="C175" s="5">
        <f t="shared" si="20"/>
        <v>-0.61396424345699308</v>
      </c>
      <c r="F175" s="1">
        <v>42621</v>
      </c>
      <c r="G175">
        <v>158.610367</v>
      </c>
      <c r="H175" s="5">
        <f t="shared" si="21"/>
        <v>-1.8594111876535035</v>
      </c>
      <c r="K175" s="1">
        <v>42621</v>
      </c>
      <c r="L175">
        <v>110.002602</v>
      </c>
      <c r="M175" s="5">
        <f t="shared" si="22"/>
        <v>-2.4496209658828776</v>
      </c>
      <c r="P175" s="1">
        <v>42621</v>
      </c>
      <c r="Q175">
        <v>101.879997</v>
      </c>
      <c r="R175" s="5">
        <f t="shared" si="23"/>
        <v>-1.0873815533980553</v>
      </c>
      <c r="U175" s="1">
        <v>42621</v>
      </c>
      <c r="V175">
        <v>6.23</v>
      </c>
      <c r="W175" s="5">
        <f t="shared" si="24"/>
        <v>-8.9181286549707526</v>
      </c>
      <c r="Z175" s="1">
        <v>42621</v>
      </c>
      <c r="AA175">
        <v>43.03651</v>
      </c>
      <c r="AB175" s="5">
        <f t="shared" si="25"/>
        <v>-0.18441867459764655</v>
      </c>
      <c r="AE175" s="1">
        <v>42621</v>
      </c>
      <c r="AF175">
        <v>270.11489899999998</v>
      </c>
      <c r="AG175" s="5">
        <f t="shared" si="26"/>
        <v>0.11089978412446808</v>
      </c>
      <c r="AJ175" s="1">
        <v>42621</v>
      </c>
      <c r="AK175">
        <v>61.667346999999999</v>
      </c>
      <c r="AL175" s="5">
        <f t="shared" si="27"/>
        <v>-1.4006522386820242</v>
      </c>
      <c r="AO175" s="1">
        <v>42621</v>
      </c>
      <c r="AP175">
        <v>40.841529999999999</v>
      </c>
      <c r="AQ175" s="5">
        <f t="shared" si="28"/>
        <v>-0.11933629193036394</v>
      </c>
      <c r="AT175" s="1">
        <v>42621</v>
      </c>
      <c r="AU175">
        <v>175.72846999999999</v>
      </c>
      <c r="AV175" s="5">
        <f t="shared" si="29"/>
        <v>0.19472486629962776</v>
      </c>
    </row>
    <row r="176" spans="1:48" x14ac:dyDescent="0.2">
      <c r="A176" s="1">
        <v>42622</v>
      </c>
      <c r="B176">
        <v>11.831628</v>
      </c>
      <c r="C176" s="5">
        <f t="shared" si="20"/>
        <v>-4.7876453096301352</v>
      </c>
      <c r="F176" s="1">
        <v>42622</v>
      </c>
      <c r="G176">
        <v>152.71002200000001</v>
      </c>
      <c r="H176" s="5">
        <f t="shared" si="21"/>
        <v>-3.7200248077100708</v>
      </c>
      <c r="K176" s="1">
        <v>42622</v>
      </c>
      <c r="L176">
        <v>108.131668</v>
      </c>
      <c r="M176" s="5">
        <f t="shared" si="22"/>
        <v>-1.7008088590486172</v>
      </c>
      <c r="P176" s="1">
        <v>42622</v>
      </c>
      <c r="Q176">
        <v>99.379997000000003</v>
      </c>
      <c r="R176" s="5">
        <f t="shared" si="23"/>
        <v>-2.4538673671142726</v>
      </c>
      <c r="U176" s="1">
        <v>42622</v>
      </c>
      <c r="V176">
        <v>5.9</v>
      </c>
      <c r="W176" s="5">
        <f t="shared" si="24"/>
        <v>-5.2969502407704665</v>
      </c>
      <c r="Z176" s="1">
        <v>42622</v>
      </c>
      <c r="AA176">
        <v>42.032657999999998</v>
      </c>
      <c r="AB176" s="5">
        <f t="shared" si="25"/>
        <v>-2.3325590295309775</v>
      </c>
      <c r="AE176" s="1">
        <v>42622</v>
      </c>
      <c r="AF176">
        <v>260.73867799999999</v>
      </c>
      <c r="AG176" s="5">
        <f t="shared" si="26"/>
        <v>-3.4711972700180409</v>
      </c>
      <c r="AJ176" s="1">
        <v>42622</v>
      </c>
      <c r="AK176">
        <v>60.993499999999997</v>
      </c>
      <c r="AL176" s="5">
        <f t="shared" si="27"/>
        <v>-1.0927128095846286</v>
      </c>
      <c r="AO176" s="1">
        <v>42622</v>
      </c>
      <c r="AP176">
        <v>40.021769999999997</v>
      </c>
      <c r="AQ176" s="5">
        <f t="shared" si="28"/>
        <v>-2.0071726010264608</v>
      </c>
      <c r="AT176" s="1">
        <v>42622</v>
      </c>
      <c r="AU176">
        <v>171.376724</v>
      </c>
      <c r="AV176" s="5">
        <f t="shared" si="29"/>
        <v>-2.4764035104840962</v>
      </c>
    </row>
    <row r="177" spans="1:48" x14ac:dyDescent="0.2">
      <c r="A177" s="1">
        <v>42625</v>
      </c>
      <c r="B177">
        <v>12.08112</v>
      </c>
      <c r="C177" s="5">
        <f t="shared" si="20"/>
        <v>2.1086869871162284</v>
      </c>
      <c r="F177" s="1">
        <v>42625</v>
      </c>
      <c r="G177">
        <v>153.119339</v>
      </c>
      <c r="H177" s="5">
        <f t="shared" si="21"/>
        <v>0.26803545349498231</v>
      </c>
      <c r="K177" s="1">
        <v>42625</v>
      </c>
      <c r="L177">
        <v>110.453186</v>
      </c>
      <c r="M177" s="5">
        <f t="shared" si="22"/>
        <v>2.1469362703255417</v>
      </c>
      <c r="P177" s="1">
        <v>42625</v>
      </c>
      <c r="Q177">
        <v>100.32</v>
      </c>
      <c r="R177" s="5">
        <f t="shared" si="23"/>
        <v>0.94586740629504162</v>
      </c>
      <c r="U177" s="1">
        <v>42625</v>
      </c>
      <c r="V177">
        <v>5.94</v>
      </c>
      <c r="W177" s="5">
        <f t="shared" si="24"/>
        <v>0.67796610169491589</v>
      </c>
      <c r="Z177" s="1">
        <v>42625</v>
      </c>
      <c r="AA177">
        <v>43.195534000000002</v>
      </c>
      <c r="AB177" s="5">
        <f t="shared" si="25"/>
        <v>2.7666011509431652</v>
      </c>
      <c r="AE177" s="1">
        <v>42625</v>
      </c>
      <c r="AF177">
        <v>261.35711700000002</v>
      </c>
      <c r="AG177" s="5">
        <f t="shared" si="26"/>
        <v>0.23718728833933245</v>
      </c>
      <c r="AJ177" s="1">
        <v>42625</v>
      </c>
      <c r="AK177">
        <v>61.686607000000002</v>
      </c>
      <c r="AL177" s="5">
        <f t="shared" si="27"/>
        <v>1.1363620713682685</v>
      </c>
      <c r="AO177" s="1">
        <v>42625</v>
      </c>
      <c r="AP177">
        <v>40.421894000000002</v>
      </c>
      <c r="AQ177" s="5">
        <f t="shared" si="28"/>
        <v>0.99976587742122669</v>
      </c>
      <c r="AT177" s="1">
        <v>42625</v>
      </c>
      <c r="AU177">
        <v>173.777008</v>
      </c>
      <c r="AV177" s="5">
        <f t="shared" si="29"/>
        <v>1.400589265552771</v>
      </c>
    </row>
    <row r="178" spans="1:48" x14ac:dyDescent="0.2">
      <c r="A178" s="1">
        <v>42626</v>
      </c>
      <c r="B178">
        <v>11.889203999999999</v>
      </c>
      <c r="C178" s="5">
        <f t="shared" si="20"/>
        <v>-1.5885613254400326</v>
      </c>
      <c r="F178" s="1">
        <v>42626</v>
      </c>
      <c r="G178">
        <v>150.93292199999999</v>
      </c>
      <c r="H178" s="5">
        <f t="shared" si="21"/>
        <v>-1.4279169530636531</v>
      </c>
      <c r="K178" s="1">
        <v>42626</v>
      </c>
      <c r="L178">
        <v>108.268806</v>
      </c>
      <c r="M178" s="5">
        <f t="shared" si="22"/>
        <v>-1.9776523241258104</v>
      </c>
      <c r="P178" s="1">
        <v>42626</v>
      </c>
      <c r="Q178">
        <v>98.769997000000004</v>
      </c>
      <c r="R178" s="5">
        <f t="shared" si="23"/>
        <v>-1.5450588118022226</v>
      </c>
      <c r="U178" s="1">
        <v>42626</v>
      </c>
      <c r="V178">
        <v>5.74</v>
      </c>
      <c r="W178" s="5">
        <f t="shared" si="24"/>
        <v>-3.3670033670033699</v>
      </c>
      <c r="Z178" s="1">
        <v>42626</v>
      </c>
      <c r="AA178">
        <v>43.14584</v>
      </c>
      <c r="AB178" s="5">
        <f t="shared" si="25"/>
        <v>-0.11504430064460448</v>
      </c>
      <c r="AE178" s="1">
        <v>42626</v>
      </c>
      <c r="AF178">
        <v>258.763733</v>
      </c>
      <c r="AG178" s="5">
        <f t="shared" si="26"/>
        <v>-0.99227602055314001</v>
      </c>
      <c r="AJ178" s="1">
        <v>42626</v>
      </c>
      <c r="AK178">
        <v>60.974246999999998</v>
      </c>
      <c r="AL178" s="5">
        <f t="shared" si="27"/>
        <v>-1.1548049643904128</v>
      </c>
      <c r="AO178" s="1">
        <v>42626</v>
      </c>
      <c r="AP178">
        <v>39.660685999999998</v>
      </c>
      <c r="AQ178" s="5">
        <f t="shared" si="28"/>
        <v>-1.8831576768768021</v>
      </c>
      <c r="AT178" s="1">
        <v>42626</v>
      </c>
      <c r="AU178">
        <v>171.79631000000001</v>
      </c>
      <c r="AV178" s="5">
        <f t="shared" si="29"/>
        <v>-1.1397929005659884</v>
      </c>
    </row>
    <row r="179" spans="1:48" x14ac:dyDescent="0.2">
      <c r="A179" s="1">
        <v>42627</v>
      </c>
      <c r="B179">
        <v>11.822032999999999</v>
      </c>
      <c r="C179" s="5">
        <f t="shared" si="20"/>
        <v>-0.56497474515535351</v>
      </c>
      <c r="F179" s="1">
        <v>42627</v>
      </c>
      <c r="G179">
        <v>150.47370900000001</v>
      </c>
      <c r="H179" s="5">
        <f t="shared" si="21"/>
        <v>-0.30424972492083407</v>
      </c>
      <c r="K179" s="1">
        <v>42627</v>
      </c>
      <c r="L179">
        <v>107.553741</v>
      </c>
      <c r="M179" s="5">
        <f t="shared" si="22"/>
        <v>-0.6604533904253046</v>
      </c>
      <c r="P179" s="1">
        <v>42627</v>
      </c>
      <c r="Q179">
        <v>98.790001000000004</v>
      </c>
      <c r="R179" s="5">
        <f t="shared" si="23"/>
        <v>2.0253113908670191E-2</v>
      </c>
      <c r="U179" s="1">
        <v>42627</v>
      </c>
      <c r="V179">
        <v>6.04</v>
      </c>
      <c r="W179" s="5">
        <f t="shared" si="24"/>
        <v>5.2264808362369308</v>
      </c>
      <c r="Z179" s="1">
        <v>42627</v>
      </c>
      <c r="AA179">
        <v>43.394317999999998</v>
      </c>
      <c r="AB179" s="5">
        <f t="shared" si="25"/>
        <v>0.57590256673644236</v>
      </c>
      <c r="AE179" s="1">
        <v>42627</v>
      </c>
      <c r="AF179">
        <v>258.015625</v>
      </c>
      <c r="AG179" s="5">
        <f t="shared" si="26"/>
        <v>-0.28910852047415853</v>
      </c>
      <c r="AJ179" s="1">
        <v>42627</v>
      </c>
      <c r="AK179">
        <v>60.974246999999998</v>
      </c>
      <c r="AL179" s="5">
        <f t="shared" si="27"/>
        <v>0</v>
      </c>
      <c r="AO179" s="1">
        <v>42627</v>
      </c>
      <c r="AP179">
        <v>39.826591000000001</v>
      </c>
      <c r="AQ179" s="5">
        <f t="shared" si="28"/>
        <v>0.41831096920512723</v>
      </c>
      <c r="AT179" s="1">
        <v>42627</v>
      </c>
      <c r="AU179">
        <v>171.35720800000001</v>
      </c>
      <c r="AV179" s="5">
        <f t="shared" si="29"/>
        <v>-0.25559454682116933</v>
      </c>
    </row>
    <row r="180" spans="1:48" x14ac:dyDescent="0.2">
      <c r="A180" s="1">
        <v>42628</v>
      </c>
      <c r="B180">
        <v>12.042736</v>
      </c>
      <c r="C180" s="5">
        <f t="shared" si="20"/>
        <v>1.8668785647950765</v>
      </c>
      <c r="F180" s="1">
        <v>42628</v>
      </c>
      <c r="G180">
        <v>148.696609</v>
      </c>
      <c r="H180" s="5">
        <f t="shared" si="21"/>
        <v>-1.181003652937151</v>
      </c>
      <c r="K180" s="1">
        <v>42628</v>
      </c>
      <c r="L180">
        <v>108.454926</v>
      </c>
      <c r="M180" s="5">
        <f t="shared" si="22"/>
        <v>0.83789275168029542</v>
      </c>
      <c r="P180" s="1">
        <v>42628</v>
      </c>
      <c r="Q180">
        <v>99.620002999999997</v>
      </c>
      <c r="R180" s="5">
        <f t="shared" si="23"/>
        <v>0.84016802469714846</v>
      </c>
      <c r="U180" s="1">
        <v>42628</v>
      </c>
      <c r="V180">
        <v>6.02</v>
      </c>
      <c r="W180" s="5">
        <f t="shared" si="24"/>
        <v>-0.33112582781457717</v>
      </c>
      <c r="Z180" s="1">
        <v>42628</v>
      </c>
      <c r="AA180">
        <v>44.318660999999999</v>
      </c>
      <c r="AB180" s="5">
        <f t="shared" si="25"/>
        <v>2.1301014570617296</v>
      </c>
      <c r="AE180" s="1">
        <v>42628</v>
      </c>
      <c r="AF180">
        <v>263.67123400000003</v>
      </c>
      <c r="AG180" s="5">
        <f t="shared" si="26"/>
        <v>2.1919637618845864</v>
      </c>
      <c r="AJ180" s="1">
        <v>42628</v>
      </c>
      <c r="AK180">
        <v>60.983871000000001</v>
      </c>
      <c r="AL180" s="5">
        <f t="shared" si="27"/>
        <v>1.5783712753356834E-2</v>
      </c>
      <c r="AO180" s="1">
        <v>42628</v>
      </c>
      <c r="AP180">
        <v>40.129116000000003</v>
      </c>
      <c r="AQ180" s="5">
        <f t="shared" si="28"/>
        <v>0.75960556101827248</v>
      </c>
      <c r="AT180" s="1">
        <v>42628</v>
      </c>
      <c r="AU180">
        <v>172.303665</v>
      </c>
      <c r="AV180" s="5">
        <f t="shared" si="29"/>
        <v>0.55232984421640485</v>
      </c>
    </row>
    <row r="181" spans="1:48" x14ac:dyDescent="0.2">
      <c r="A181" s="1">
        <v>42629</v>
      </c>
      <c r="B181">
        <v>12.03314</v>
      </c>
      <c r="C181" s="5">
        <f t="shared" si="20"/>
        <v>-7.9682889336776627E-2</v>
      </c>
      <c r="F181" s="1">
        <v>42629</v>
      </c>
      <c r="G181">
        <v>147.86795000000001</v>
      </c>
      <c r="H181" s="5">
        <f t="shared" si="21"/>
        <v>-0.55728170640393526</v>
      </c>
      <c r="K181" s="1">
        <v>42629</v>
      </c>
      <c r="L181">
        <v>107.63211099999999</v>
      </c>
      <c r="M181" s="5">
        <f t="shared" si="22"/>
        <v>-0.75867001190891559</v>
      </c>
      <c r="P181" s="1">
        <v>42629</v>
      </c>
      <c r="Q181">
        <v>98.93</v>
      </c>
      <c r="R181" s="5">
        <f t="shared" si="23"/>
        <v>-0.69263499219126723</v>
      </c>
      <c r="U181" s="1">
        <v>42629</v>
      </c>
      <c r="V181">
        <v>6.05</v>
      </c>
      <c r="W181" s="5">
        <f t="shared" si="24"/>
        <v>0.49833887043189784</v>
      </c>
      <c r="Z181" s="1">
        <v>42629</v>
      </c>
      <c r="AA181">
        <v>44.149692999999999</v>
      </c>
      <c r="AB181" s="5">
        <f t="shared" si="25"/>
        <v>-0.38125700593706918</v>
      </c>
      <c r="AE181" s="1">
        <v>42629</v>
      </c>
      <c r="AF181">
        <v>259.54174799999998</v>
      </c>
      <c r="AG181" s="5">
        <f t="shared" si="26"/>
        <v>-1.5661496088724043</v>
      </c>
      <c r="AJ181" s="1">
        <v>42629</v>
      </c>
      <c r="AK181">
        <v>60.906857000000002</v>
      </c>
      <c r="AL181" s="5">
        <f t="shared" si="27"/>
        <v>-0.12628585023734942</v>
      </c>
      <c r="AO181" s="1">
        <v>42629</v>
      </c>
      <c r="AP181">
        <v>40.861046000000002</v>
      </c>
      <c r="AQ181" s="5">
        <f t="shared" si="28"/>
        <v>1.8239375121046735</v>
      </c>
      <c r="AT181" s="1">
        <v>42629</v>
      </c>
      <c r="AU181">
        <v>170.81079099999999</v>
      </c>
      <c r="AV181" s="5">
        <f t="shared" si="29"/>
        <v>-0.86642033992718648</v>
      </c>
    </row>
    <row r="182" spans="1:48" x14ac:dyDescent="0.2">
      <c r="A182" s="1">
        <v>42632</v>
      </c>
      <c r="B182">
        <v>12.186672</v>
      </c>
      <c r="C182" s="5">
        <f t="shared" si="20"/>
        <v>1.2759096960560605</v>
      </c>
      <c r="F182" s="1">
        <v>42632</v>
      </c>
      <c r="G182">
        <v>148.197418</v>
      </c>
      <c r="H182" s="5">
        <f t="shared" si="21"/>
        <v>0.22281231328356915</v>
      </c>
      <c r="K182" s="1">
        <v>42632</v>
      </c>
      <c r="L182">
        <v>108.23942599999999</v>
      </c>
      <c r="M182" s="5">
        <f t="shared" si="22"/>
        <v>0.5642507559848936</v>
      </c>
      <c r="P182" s="1">
        <v>42632</v>
      </c>
      <c r="Q182">
        <v>99.68</v>
      </c>
      <c r="R182" s="5">
        <f t="shared" si="23"/>
        <v>0.75811179621954905</v>
      </c>
      <c r="U182" s="1">
        <v>42632</v>
      </c>
      <c r="V182">
        <v>6.16</v>
      </c>
      <c r="W182" s="5">
        <f t="shared" si="24"/>
        <v>1.8181818181818237</v>
      </c>
      <c r="Z182" s="1">
        <v>42632</v>
      </c>
      <c r="AA182">
        <v>43.851520999999998</v>
      </c>
      <c r="AB182" s="5">
        <f t="shared" si="25"/>
        <v>-0.67536596460591691</v>
      </c>
      <c r="AE182" s="1">
        <v>42632</v>
      </c>
      <c r="AF182">
        <v>262.06530800000002</v>
      </c>
      <c r="AG182" s="5">
        <f t="shared" si="26"/>
        <v>0.97231371039391778</v>
      </c>
      <c r="AJ182" s="1">
        <v>42632</v>
      </c>
      <c r="AK182">
        <v>60.560307000000002</v>
      </c>
      <c r="AL182" s="5">
        <f t="shared" si="27"/>
        <v>-0.56898355467595474</v>
      </c>
      <c r="AO182" s="1">
        <v>42632</v>
      </c>
      <c r="AP182">
        <v>40.675624999999997</v>
      </c>
      <c r="AQ182" s="5">
        <f t="shared" si="28"/>
        <v>-0.4537842716997631</v>
      </c>
      <c r="AT182" s="1">
        <v>42632</v>
      </c>
      <c r="AU182">
        <v>172.430511</v>
      </c>
      <c r="AV182" s="5">
        <f t="shared" si="29"/>
        <v>0.94825390744780347</v>
      </c>
    </row>
    <row r="183" spans="1:48" x14ac:dyDescent="0.2">
      <c r="A183" s="1">
        <v>42633</v>
      </c>
      <c r="B183">
        <v>12.263439999999999</v>
      </c>
      <c r="C183" s="5">
        <f t="shared" si="20"/>
        <v>0.62993407880346253</v>
      </c>
      <c r="F183" s="1">
        <v>42633</v>
      </c>
      <c r="G183">
        <v>145.65158099999999</v>
      </c>
      <c r="H183" s="5">
        <f t="shared" si="21"/>
        <v>-1.7178686608426645</v>
      </c>
      <c r="K183" s="1">
        <v>42633</v>
      </c>
      <c r="L183">
        <v>108.435326</v>
      </c>
      <c r="M183" s="5">
        <f t="shared" si="22"/>
        <v>0.18098765601363118</v>
      </c>
      <c r="P183" s="1">
        <v>42633</v>
      </c>
      <c r="Q183">
        <v>100.620003</v>
      </c>
      <c r="R183" s="5">
        <f t="shared" si="23"/>
        <v>0.94302066613161128</v>
      </c>
      <c r="U183" s="1">
        <v>42633</v>
      </c>
      <c r="V183">
        <v>6.17</v>
      </c>
      <c r="W183" s="5">
        <f t="shared" si="24"/>
        <v>0.16233766233765887</v>
      </c>
      <c r="Z183" s="1">
        <v>42633</v>
      </c>
      <c r="AA183">
        <v>43.861462000000003</v>
      </c>
      <c r="AB183" s="5">
        <f t="shared" si="25"/>
        <v>2.2669681172529599E-2</v>
      </c>
      <c r="AE183" s="1">
        <v>42633</v>
      </c>
      <c r="AF183">
        <v>252.93847700000001</v>
      </c>
      <c r="AG183" s="5">
        <f t="shared" si="26"/>
        <v>-3.482655170824827</v>
      </c>
      <c r="AJ183" s="1">
        <v>42633</v>
      </c>
      <c r="AK183">
        <v>60.916480999999997</v>
      </c>
      <c r="AL183" s="5">
        <f t="shared" si="27"/>
        <v>0.5881311004582519</v>
      </c>
      <c r="AO183" s="1">
        <v>42633</v>
      </c>
      <c r="AP183">
        <v>40.578037000000002</v>
      </c>
      <c r="AQ183" s="5">
        <f t="shared" si="28"/>
        <v>-0.23991764109339361</v>
      </c>
      <c r="AT183" s="1">
        <v>42633</v>
      </c>
      <c r="AU183">
        <v>173.289154</v>
      </c>
      <c r="AV183" s="5">
        <f t="shared" si="29"/>
        <v>0.49796465545474183</v>
      </c>
    </row>
    <row r="184" spans="1:48" x14ac:dyDescent="0.2">
      <c r="A184" s="1">
        <v>42634</v>
      </c>
      <c r="B184">
        <v>12.570505000000001</v>
      </c>
      <c r="C184" s="5">
        <f t="shared" si="20"/>
        <v>2.5039059187308088</v>
      </c>
      <c r="F184" s="1">
        <v>42634</v>
      </c>
      <c r="G184">
        <v>146.15097</v>
      </c>
      <c r="H184" s="5">
        <f t="shared" si="21"/>
        <v>0.34286548527063904</v>
      </c>
      <c r="K184" s="1">
        <v>42634</v>
      </c>
      <c r="L184">
        <v>109.41487100000001</v>
      </c>
      <c r="M184" s="5">
        <f t="shared" si="22"/>
        <v>0.90334491178640597</v>
      </c>
      <c r="P184" s="1">
        <v>42634</v>
      </c>
      <c r="Q184">
        <v>107.779999</v>
      </c>
      <c r="R184" s="5">
        <f t="shared" si="23"/>
        <v>7.1158773469724572</v>
      </c>
      <c r="U184" s="1">
        <v>42634</v>
      </c>
      <c r="V184">
        <v>6.29</v>
      </c>
      <c r="W184" s="5">
        <f t="shared" si="24"/>
        <v>1.9448946515397101</v>
      </c>
      <c r="Z184" s="1">
        <v>42634</v>
      </c>
      <c r="AA184">
        <v>44.39817</v>
      </c>
      <c r="AB184" s="5">
        <f t="shared" si="25"/>
        <v>1.2236436624023095</v>
      </c>
      <c r="AE184" s="1">
        <v>42634</v>
      </c>
      <c r="AF184">
        <v>258.26501500000001</v>
      </c>
      <c r="AG184" s="5">
        <f t="shared" si="26"/>
        <v>2.1058630791075723</v>
      </c>
      <c r="AJ184" s="1">
        <v>42634</v>
      </c>
      <c r="AK184">
        <v>61.705855999999997</v>
      </c>
      <c r="AL184" s="5">
        <f t="shared" si="27"/>
        <v>1.2958315829176013</v>
      </c>
      <c r="AO184" s="1">
        <v>42634</v>
      </c>
      <c r="AP184">
        <v>40.909843000000002</v>
      </c>
      <c r="AQ184" s="5">
        <f t="shared" si="28"/>
        <v>0.81769850029955926</v>
      </c>
      <c r="AT184" s="1">
        <v>42634</v>
      </c>
      <c r="AU184">
        <v>175.23085</v>
      </c>
      <c r="AV184" s="5">
        <f t="shared" si="29"/>
        <v>1.12049482335173</v>
      </c>
    </row>
    <row r="185" spans="1:48" x14ac:dyDescent="0.2">
      <c r="A185" s="1">
        <v>42635</v>
      </c>
      <c r="B185">
        <v>12.656867999999999</v>
      </c>
      <c r="C185" s="5">
        <f t="shared" si="20"/>
        <v>0.68702888229230752</v>
      </c>
      <c r="F185" s="1">
        <v>42635</v>
      </c>
      <c r="G185">
        <v>148.96751399999999</v>
      </c>
      <c r="H185" s="5">
        <f t="shared" si="21"/>
        <v>1.9271469768555032</v>
      </c>
      <c r="K185" s="1">
        <v>42635</v>
      </c>
      <c r="L185">
        <v>111.334785</v>
      </c>
      <c r="M185" s="5">
        <f t="shared" si="22"/>
        <v>1.7547102897923186</v>
      </c>
      <c r="P185" s="1">
        <v>42635</v>
      </c>
      <c r="Q185">
        <v>107.91999800000001</v>
      </c>
      <c r="R185" s="5">
        <f t="shared" si="23"/>
        <v>0.12989330237422167</v>
      </c>
      <c r="U185" s="1">
        <v>42635</v>
      </c>
      <c r="V185">
        <v>6.37</v>
      </c>
      <c r="W185" s="5">
        <f t="shared" si="24"/>
        <v>1.2718600953895083</v>
      </c>
      <c r="Z185" s="1">
        <v>42635</v>
      </c>
      <c r="AA185">
        <v>44.239147000000003</v>
      </c>
      <c r="AB185" s="5">
        <f t="shared" si="25"/>
        <v>-0.35817467251465024</v>
      </c>
      <c r="AE185" s="1">
        <v>42635</v>
      </c>
      <c r="AF185">
        <v>260.28982500000001</v>
      </c>
      <c r="AG185" s="5">
        <f t="shared" si="26"/>
        <v>0.78400475573511264</v>
      </c>
      <c r="AJ185" s="1">
        <v>42635</v>
      </c>
      <c r="AK185">
        <v>62.649258000000003</v>
      </c>
      <c r="AL185" s="5">
        <f t="shared" si="27"/>
        <v>1.5288694803942209</v>
      </c>
      <c r="AO185" s="1">
        <v>42635</v>
      </c>
      <c r="AP185">
        <v>41.202613999999997</v>
      </c>
      <c r="AQ185" s="5">
        <f t="shared" si="28"/>
        <v>0.71564928762986146</v>
      </c>
      <c r="AT185" s="1">
        <v>42635</v>
      </c>
      <c r="AU185">
        <v>175.484543</v>
      </c>
      <c r="AV185" s="5">
        <f t="shared" si="29"/>
        <v>0.14477644775448981</v>
      </c>
    </row>
    <row r="186" spans="1:48" x14ac:dyDescent="0.2">
      <c r="A186" s="1">
        <v>42636</v>
      </c>
      <c r="B186">
        <v>12.724038999999999</v>
      </c>
      <c r="C186" s="5">
        <f t="shared" si="20"/>
        <v>0.53070791288966668</v>
      </c>
      <c r="F186" s="1">
        <v>42636</v>
      </c>
      <c r="G186">
        <v>149.05741900000001</v>
      </c>
      <c r="H186" s="5">
        <f t="shared" si="21"/>
        <v>6.0352084549129208E-2</v>
      </c>
      <c r="K186" s="1">
        <v>42636</v>
      </c>
      <c r="L186">
        <v>110.776436</v>
      </c>
      <c r="M186" s="5">
        <f t="shared" si="22"/>
        <v>-0.50150453876566303</v>
      </c>
      <c r="P186" s="1">
        <v>42636</v>
      </c>
      <c r="Q186">
        <v>107.470001</v>
      </c>
      <c r="R186" s="5">
        <f t="shared" si="23"/>
        <v>-0.41697276532567246</v>
      </c>
      <c r="U186" s="1">
        <v>42636</v>
      </c>
      <c r="V186">
        <v>6.55</v>
      </c>
      <c r="W186" s="5">
        <f t="shared" si="24"/>
        <v>2.8257456828885354</v>
      </c>
      <c r="Z186" s="1">
        <v>42636</v>
      </c>
      <c r="AA186">
        <v>44.090060999999999</v>
      </c>
      <c r="AB186" s="5">
        <f t="shared" si="25"/>
        <v>-0.33700016865154303</v>
      </c>
      <c r="AE186" s="1">
        <v>42636</v>
      </c>
      <c r="AF186">
        <v>259.09286500000002</v>
      </c>
      <c r="AG186" s="5">
        <f t="shared" si="26"/>
        <v>-0.45985662328521293</v>
      </c>
      <c r="AJ186" s="1">
        <v>42636</v>
      </c>
      <c r="AK186">
        <v>62.552985999999997</v>
      </c>
      <c r="AL186" s="5">
        <f t="shared" si="27"/>
        <v>-0.15366822061963786</v>
      </c>
      <c r="AO186" s="1">
        <v>42636</v>
      </c>
      <c r="AP186">
        <v>41.173335999999999</v>
      </c>
      <c r="AQ186" s="5">
        <f t="shared" si="28"/>
        <v>-7.1058598369506162E-2</v>
      </c>
      <c r="AT186" s="1">
        <v>42636</v>
      </c>
      <c r="AU186">
        <v>173.084259</v>
      </c>
      <c r="AV186" s="5">
        <f t="shared" si="29"/>
        <v>-1.3678036589239653</v>
      </c>
    </row>
    <row r="187" spans="1:48" x14ac:dyDescent="0.2">
      <c r="A187" s="1">
        <v>42639</v>
      </c>
      <c r="B187">
        <v>12.589696999999999</v>
      </c>
      <c r="C187" s="5">
        <f t="shared" si="20"/>
        <v>-1.0558125450574318</v>
      </c>
      <c r="F187" s="1">
        <v>42639</v>
      </c>
      <c r="G187">
        <v>149.91635099999999</v>
      </c>
      <c r="H187" s="5">
        <f t="shared" si="21"/>
        <v>0.57624236737923218</v>
      </c>
      <c r="K187" s="1">
        <v>42639</v>
      </c>
      <c r="L187">
        <v>111.40334300000001</v>
      </c>
      <c r="M187" s="5">
        <f t="shared" si="22"/>
        <v>0.56592089675100465</v>
      </c>
      <c r="P187" s="1">
        <v>42639</v>
      </c>
      <c r="Q187">
        <v>107.260002</v>
      </c>
      <c r="R187" s="5">
        <f t="shared" si="23"/>
        <v>-0.19540243607143568</v>
      </c>
      <c r="U187" s="1">
        <v>42639</v>
      </c>
      <c r="V187">
        <v>6.32</v>
      </c>
      <c r="W187" s="5">
        <f t="shared" si="24"/>
        <v>-3.5114503816793827</v>
      </c>
      <c r="Z187" s="1">
        <v>42639</v>
      </c>
      <c r="AA187">
        <v>43.712372000000002</v>
      </c>
      <c r="AB187" s="5">
        <f t="shared" si="25"/>
        <v>-0.85663070413986642</v>
      </c>
      <c r="AE187" s="1">
        <v>42639</v>
      </c>
      <c r="AF187">
        <v>257.65649400000001</v>
      </c>
      <c r="AG187" s="5">
        <f t="shared" si="26"/>
        <v>-0.55438462189995397</v>
      </c>
      <c r="AJ187" s="1">
        <v>42639</v>
      </c>
      <c r="AK187">
        <v>61.676971000000002</v>
      </c>
      <c r="AL187" s="5">
        <f t="shared" si="27"/>
        <v>-1.4004367433394713</v>
      </c>
      <c r="AO187" s="1">
        <v>42639</v>
      </c>
      <c r="AP187">
        <v>40.675624999999997</v>
      </c>
      <c r="AQ187" s="5">
        <f t="shared" si="28"/>
        <v>-1.2088187364754766</v>
      </c>
      <c r="AT187" s="1">
        <v>42639</v>
      </c>
      <c r="AU187">
        <v>171.67919900000001</v>
      </c>
      <c r="AV187" s="5">
        <f t="shared" si="29"/>
        <v>-0.81177803696175033</v>
      </c>
    </row>
    <row r="188" spans="1:48" x14ac:dyDescent="0.2">
      <c r="A188" s="1">
        <v>42640</v>
      </c>
      <c r="B188">
        <v>12.551313</v>
      </c>
      <c r="C188" s="5">
        <f t="shared" si="20"/>
        <v>-0.30488422398091763</v>
      </c>
      <c r="F188" s="1">
        <v>42640</v>
      </c>
      <c r="G188">
        <v>150.82522599999999</v>
      </c>
      <c r="H188" s="5">
        <f t="shared" si="21"/>
        <v>0.60625475069093349</v>
      </c>
      <c r="K188" s="1">
        <v>42640</v>
      </c>
      <c r="L188">
        <v>113.75425</v>
      </c>
      <c r="M188" s="5">
        <f t="shared" si="22"/>
        <v>2.1102661165203922</v>
      </c>
      <c r="P188" s="1">
        <v>42640</v>
      </c>
      <c r="Q188">
        <v>109.699997</v>
      </c>
      <c r="R188" s="5">
        <f t="shared" si="23"/>
        <v>2.2748414642020949</v>
      </c>
      <c r="U188" s="1">
        <v>42640</v>
      </c>
      <c r="V188">
        <v>6.54</v>
      </c>
      <c r="W188" s="5">
        <f t="shared" si="24"/>
        <v>3.4810126582278436</v>
      </c>
      <c r="Z188" s="1">
        <v>42640</v>
      </c>
      <c r="AA188">
        <v>43.940970999999998</v>
      </c>
      <c r="AB188" s="5">
        <f t="shared" si="25"/>
        <v>0.52296178299360085</v>
      </c>
      <c r="AE188" s="1">
        <v>42640</v>
      </c>
      <c r="AF188">
        <v>261.40701300000001</v>
      </c>
      <c r="AG188" s="5">
        <f t="shared" si="26"/>
        <v>1.4556275845312079</v>
      </c>
      <c r="AJ188" s="1">
        <v>42640</v>
      </c>
      <c r="AK188">
        <v>62.158301999999999</v>
      </c>
      <c r="AL188" s="5">
        <f t="shared" si="27"/>
        <v>0.78040635296437832</v>
      </c>
      <c r="AO188" s="1">
        <v>42640</v>
      </c>
      <c r="AP188">
        <v>41.309963000000003</v>
      </c>
      <c r="AQ188" s="5">
        <f t="shared" si="28"/>
        <v>1.559504002704339</v>
      </c>
      <c r="AT188" s="1">
        <v>42640</v>
      </c>
      <c r="AU188">
        <v>172.02070599999999</v>
      </c>
      <c r="AV188" s="5">
        <f t="shared" si="29"/>
        <v>0.1989215944559356</v>
      </c>
    </row>
    <row r="189" spans="1:48" x14ac:dyDescent="0.2">
      <c r="A189" s="1">
        <v>42641</v>
      </c>
      <c r="B189">
        <v>12.618484</v>
      </c>
      <c r="C189" s="5">
        <f t="shared" si="20"/>
        <v>0.53517110122263778</v>
      </c>
      <c r="F189" s="1">
        <v>42641</v>
      </c>
      <c r="G189">
        <v>148.81770299999999</v>
      </c>
      <c r="H189" s="5">
        <f t="shared" si="21"/>
        <v>-1.3310260181542788</v>
      </c>
      <c r="K189" s="1">
        <v>42641</v>
      </c>
      <c r="L189">
        <v>114.263611</v>
      </c>
      <c r="M189" s="5">
        <f t="shared" si="22"/>
        <v>0.44777316012368629</v>
      </c>
      <c r="P189" s="1">
        <v>42641</v>
      </c>
      <c r="Q189">
        <v>109.489998</v>
      </c>
      <c r="R189" s="5">
        <f t="shared" si="23"/>
        <v>-0.19143026959243789</v>
      </c>
      <c r="U189" s="1">
        <v>42641</v>
      </c>
      <c r="V189">
        <v>6.59</v>
      </c>
      <c r="W189" s="5">
        <f t="shared" si="24"/>
        <v>0.76452599388378939</v>
      </c>
      <c r="Z189" s="1">
        <v>42641</v>
      </c>
      <c r="AA189">
        <v>43.891277000000002</v>
      </c>
      <c r="AB189" s="5">
        <f t="shared" si="25"/>
        <v>-0.11309263056566331</v>
      </c>
      <c r="AE189" s="1">
        <v>42641</v>
      </c>
      <c r="AF189">
        <v>262.175049</v>
      </c>
      <c r="AG189" s="5">
        <f t="shared" si="26"/>
        <v>0.29380849089920746</v>
      </c>
      <c r="AJ189" s="1">
        <v>42641</v>
      </c>
      <c r="AK189">
        <v>61.821373000000001</v>
      </c>
      <c r="AL189" s="5">
        <f t="shared" si="27"/>
        <v>-0.54204987774601343</v>
      </c>
      <c r="AO189" s="1">
        <v>42641</v>
      </c>
      <c r="AP189">
        <v>41.270927</v>
      </c>
      <c r="AQ189" s="5">
        <f t="shared" si="28"/>
        <v>-9.4495364229696718E-2</v>
      </c>
      <c r="AT189" s="1">
        <v>42641</v>
      </c>
      <c r="AU189">
        <v>173.27938800000001</v>
      </c>
      <c r="AV189" s="5">
        <f t="shared" si="29"/>
        <v>0.73170377524204655</v>
      </c>
    </row>
    <row r="190" spans="1:48" x14ac:dyDescent="0.2">
      <c r="A190" s="1">
        <v>42642</v>
      </c>
      <c r="B190">
        <v>12.378590000000001</v>
      </c>
      <c r="C190" s="5">
        <f t="shared" si="20"/>
        <v>-1.9011317048862573</v>
      </c>
      <c r="F190" s="1">
        <v>42642</v>
      </c>
      <c r="G190">
        <v>146.56045499999999</v>
      </c>
      <c r="H190" s="5">
        <f t="shared" si="21"/>
        <v>-1.516787287060871</v>
      </c>
      <c r="K190" s="1">
        <v>42642</v>
      </c>
      <c r="L190">
        <v>119.15152</v>
      </c>
      <c r="M190" s="5">
        <f t="shared" si="22"/>
        <v>4.2777477074481807</v>
      </c>
      <c r="P190" s="1">
        <v>42642</v>
      </c>
      <c r="Q190">
        <v>107.800003</v>
      </c>
      <c r="R190" s="5">
        <f t="shared" si="23"/>
        <v>-1.5435154177279244</v>
      </c>
      <c r="U190" s="1">
        <v>42642</v>
      </c>
      <c r="V190">
        <v>6.67</v>
      </c>
      <c r="W190" s="5">
        <f t="shared" si="24"/>
        <v>1.2139605462822469</v>
      </c>
      <c r="Z190" s="1">
        <v>42642</v>
      </c>
      <c r="AA190">
        <v>43.940970999999998</v>
      </c>
      <c r="AB190" s="5">
        <f t="shared" si="25"/>
        <v>0.11322067480514462</v>
      </c>
      <c r="AE190" s="1">
        <v>42642</v>
      </c>
      <c r="AF190">
        <v>259.75119000000001</v>
      </c>
      <c r="AG190" s="5">
        <f t="shared" si="26"/>
        <v>-0.92451932754287114</v>
      </c>
      <c r="AJ190" s="1">
        <v>42642</v>
      </c>
      <c r="AK190">
        <v>60.473666999999999</v>
      </c>
      <c r="AL190" s="5">
        <f t="shared" si="27"/>
        <v>-2.1800001109648637</v>
      </c>
      <c r="AO190" s="1">
        <v>42642</v>
      </c>
      <c r="AP190">
        <v>40.441409999999998</v>
      </c>
      <c r="AQ190" s="5">
        <f t="shared" si="28"/>
        <v>-2.0099306225905775</v>
      </c>
      <c r="AT190" s="1">
        <v>42642</v>
      </c>
      <c r="AU190">
        <v>171.113281</v>
      </c>
      <c r="AV190" s="5">
        <f t="shared" si="29"/>
        <v>-1.2500661648227951</v>
      </c>
    </row>
    <row r="191" spans="1:48" x14ac:dyDescent="0.2">
      <c r="A191" s="1">
        <v>42643</v>
      </c>
      <c r="B191">
        <v>12.330610999999999</v>
      </c>
      <c r="C191" s="5">
        <f t="shared" si="20"/>
        <v>-0.3875966487297951</v>
      </c>
      <c r="F191" s="1">
        <v>42643</v>
      </c>
      <c r="G191">
        <v>148.937546</v>
      </c>
      <c r="H191" s="5">
        <f t="shared" si="21"/>
        <v>1.6219184090278698</v>
      </c>
      <c r="K191" s="1">
        <v>42643</v>
      </c>
      <c r="L191">
        <v>119.670677</v>
      </c>
      <c r="M191" s="5">
        <f t="shared" si="22"/>
        <v>0.43571160485404864</v>
      </c>
      <c r="P191" s="1">
        <v>42643</v>
      </c>
      <c r="Q191">
        <v>108.540001</v>
      </c>
      <c r="R191" s="5">
        <f t="shared" si="23"/>
        <v>0.68645452635098714</v>
      </c>
      <c r="U191" s="1">
        <v>42643</v>
      </c>
      <c r="V191">
        <v>6.91</v>
      </c>
      <c r="W191" s="5">
        <f t="shared" si="24"/>
        <v>3.5982008995502279</v>
      </c>
      <c r="Z191" s="1">
        <v>42643</v>
      </c>
      <c r="AA191">
        <v>44.030425999999999</v>
      </c>
      <c r="AB191" s="5">
        <f t="shared" si="25"/>
        <v>0.20357993454446183</v>
      </c>
      <c r="AE191" s="1">
        <v>42643</v>
      </c>
      <c r="AF191">
        <v>263.930634</v>
      </c>
      <c r="AG191" s="5">
        <f t="shared" si="26"/>
        <v>1.6090182300993461</v>
      </c>
      <c r="AJ191" s="1">
        <v>42643</v>
      </c>
      <c r="AK191">
        <v>60.714328999999999</v>
      </c>
      <c r="AL191" s="5">
        <f t="shared" si="27"/>
        <v>0.39796164502476822</v>
      </c>
      <c r="AO191" s="1">
        <v>42643</v>
      </c>
      <c r="AP191">
        <v>41.270927</v>
      </c>
      <c r="AQ191" s="5">
        <f t="shared" si="28"/>
        <v>2.0511574645889024</v>
      </c>
      <c r="AT191" s="1">
        <v>42643</v>
      </c>
      <c r="AU191">
        <v>171.952393</v>
      </c>
      <c r="AV191" s="5">
        <f t="shared" si="29"/>
        <v>0.49038391122895952</v>
      </c>
    </row>
    <row r="192" spans="1:48" x14ac:dyDescent="0.2">
      <c r="A192" s="1">
        <v>42646</v>
      </c>
      <c r="B192">
        <v>11.96597</v>
      </c>
      <c r="C192" s="5">
        <f t="shared" si="20"/>
        <v>-2.9572013909124122</v>
      </c>
      <c r="F192" s="1">
        <v>42646</v>
      </c>
      <c r="G192">
        <v>146.760223</v>
      </c>
      <c r="H192" s="5">
        <f t="shared" si="21"/>
        <v>-1.4619033672006394</v>
      </c>
      <c r="K192" s="1">
        <v>42646</v>
      </c>
      <c r="L192">
        <v>118.38748200000001</v>
      </c>
      <c r="M192" s="5">
        <f t="shared" si="22"/>
        <v>-1.0722718648946827</v>
      </c>
      <c r="P192" s="1">
        <v>42646</v>
      </c>
      <c r="Q192">
        <v>108.449997</v>
      </c>
      <c r="R192" s="5">
        <f t="shared" si="23"/>
        <v>-8.2922424148501275E-2</v>
      </c>
      <c r="U192" s="1">
        <v>42646</v>
      </c>
      <c r="V192">
        <v>6.95</v>
      </c>
      <c r="W192" s="5">
        <f t="shared" si="24"/>
        <v>0.57887120115774293</v>
      </c>
      <c r="Z192" s="1">
        <v>42646</v>
      </c>
      <c r="AA192">
        <v>43.831642000000002</v>
      </c>
      <c r="AB192" s="5">
        <f t="shared" si="25"/>
        <v>-0.45146962693478437</v>
      </c>
      <c r="AE192" s="1">
        <v>42646</v>
      </c>
      <c r="AF192">
        <v>262.85333300000002</v>
      </c>
      <c r="AG192" s="5">
        <f t="shared" si="26"/>
        <v>-0.40817580879981413</v>
      </c>
      <c r="AJ192" s="1">
        <v>42646</v>
      </c>
      <c r="AK192">
        <v>60.868350999999997</v>
      </c>
      <c r="AL192" s="5">
        <f t="shared" si="27"/>
        <v>0.253683113256506</v>
      </c>
      <c r="AO192" s="1">
        <v>42646</v>
      </c>
      <c r="AP192">
        <v>41.524661999999999</v>
      </c>
      <c r="AQ192" s="5">
        <f t="shared" si="28"/>
        <v>0.61480324878575887</v>
      </c>
      <c r="AT192" s="1">
        <v>42646</v>
      </c>
      <c r="AU192">
        <v>170.79127500000001</v>
      </c>
      <c r="AV192" s="5">
        <f t="shared" si="29"/>
        <v>-0.67525550516763533</v>
      </c>
    </row>
    <row r="193" spans="1:48" x14ac:dyDescent="0.2">
      <c r="A193" s="1">
        <v>42647</v>
      </c>
      <c r="B193">
        <v>11.466988000000001</v>
      </c>
      <c r="C193" s="5">
        <f t="shared" si="20"/>
        <v>-4.1700087832411397</v>
      </c>
      <c r="F193" s="1">
        <v>42647</v>
      </c>
      <c r="G193">
        <v>146.360703</v>
      </c>
      <c r="H193" s="5">
        <f t="shared" si="21"/>
        <v>-0.27222635114147753</v>
      </c>
      <c r="K193" s="1">
        <v>42647</v>
      </c>
      <c r="L193">
        <v>115.82107499999999</v>
      </c>
      <c r="M193" s="5">
        <f t="shared" si="22"/>
        <v>-2.167802673596869</v>
      </c>
      <c r="P193" s="1">
        <v>42647</v>
      </c>
      <c r="Q193">
        <v>108.389999</v>
      </c>
      <c r="R193" s="5">
        <f t="shared" si="23"/>
        <v>-5.5323191940699741E-2</v>
      </c>
      <c r="U193" s="1">
        <v>42647</v>
      </c>
      <c r="V193">
        <v>6.97</v>
      </c>
      <c r="W193" s="5">
        <f t="shared" si="24"/>
        <v>0.2877697841726557</v>
      </c>
      <c r="Z193" s="1">
        <v>42647</v>
      </c>
      <c r="AA193">
        <v>43.861462000000003</v>
      </c>
      <c r="AB193" s="5">
        <f t="shared" si="25"/>
        <v>6.8033043343438612E-2</v>
      </c>
      <c r="AE193" s="1">
        <v>42647</v>
      </c>
      <c r="AF193">
        <v>254.35488900000001</v>
      </c>
      <c r="AG193" s="5">
        <f t="shared" si="26"/>
        <v>-3.2331505570066352</v>
      </c>
      <c r="AJ193" s="1">
        <v>42647</v>
      </c>
      <c r="AK193">
        <v>60.646942000000003</v>
      </c>
      <c r="AL193" s="5">
        <f t="shared" si="27"/>
        <v>-0.36375061318811513</v>
      </c>
      <c r="AO193" s="1">
        <v>42647</v>
      </c>
      <c r="AP193">
        <v>41.085506000000002</v>
      </c>
      <c r="AQ193" s="5">
        <f t="shared" si="28"/>
        <v>-1.057578746817968</v>
      </c>
      <c r="AT193" s="1">
        <v>42647</v>
      </c>
      <c r="AU193">
        <v>167.512833</v>
      </c>
      <c r="AV193" s="5">
        <f t="shared" si="29"/>
        <v>-1.9195605864526817</v>
      </c>
    </row>
    <row r="194" spans="1:48" x14ac:dyDescent="0.2">
      <c r="A194" s="1">
        <v>42648</v>
      </c>
      <c r="B194">
        <v>11.380623999999999</v>
      </c>
      <c r="C194" s="5">
        <f t="shared" si="20"/>
        <v>-0.75315331279671205</v>
      </c>
      <c r="F194" s="1">
        <v>42648</v>
      </c>
      <c r="G194">
        <v>148.747772</v>
      </c>
      <c r="H194" s="5">
        <f t="shared" si="21"/>
        <v>1.6309493949342377</v>
      </c>
      <c r="K194" s="1">
        <v>42648</v>
      </c>
      <c r="L194">
        <v>115.791695</v>
      </c>
      <c r="M194" s="5">
        <f t="shared" si="22"/>
        <v>-2.5366713268711316E-2</v>
      </c>
      <c r="P194" s="1">
        <v>42648</v>
      </c>
      <c r="Q194">
        <v>108.800003</v>
      </c>
      <c r="R194" s="5">
        <f t="shared" si="23"/>
        <v>0.37826737132823546</v>
      </c>
      <c r="U194" s="1">
        <v>42648</v>
      </c>
      <c r="V194">
        <v>6.78</v>
      </c>
      <c r="W194" s="5">
        <f t="shared" si="24"/>
        <v>-2.7259684361549428</v>
      </c>
      <c r="Z194" s="1">
        <v>42648</v>
      </c>
      <c r="AA194">
        <v>44.259025999999999</v>
      </c>
      <c r="AB194" s="5">
        <f t="shared" si="25"/>
        <v>0.9064084548754795</v>
      </c>
      <c r="AE194" s="1">
        <v>42648</v>
      </c>
      <c r="AF194">
        <v>242.37527499999999</v>
      </c>
      <c r="AG194" s="5">
        <f t="shared" si="26"/>
        <v>-4.7098029242127231</v>
      </c>
      <c r="AJ194" s="1">
        <v>42648</v>
      </c>
      <c r="AK194">
        <v>61.022376999999999</v>
      </c>
      <c r="AL194" s="5">
        <f t="shared" si="27"/>
        <v>0.61905017403844687</v>
      </c>
      <c r="AO194" s="1">
        <v>42648</v>
      </c>
      <c r="AP194">
        <v>41.710087000000001</v>
      </c>
      <c r="AQ194" s="5">
        <f t="shared" si="28"/>
        <v>1.5201979014205134</v>
      </c>
      <c r="AT194" s="1">
        <v>42648</v>
      </c>
      <c r="AU194">
        <v>168.20559700000001</v>
      </c>
      <c r="AV194" s="5">
        <f t="shared" si="29"/>
        <v>0.41355876298743693</v>
      </c>
    </row>
    <row r="195" spans="1:48" x14ac:dyDescent="0.2">
      <c r="A195" s="1">
        <v>42649</v>
      </c>
      <c r="B195">
        <v>11.188708999999999</v>
      </c>
      <c r="C195" s="5">
        <f t="shared" si="20"/>
        <v>-1.6863310834274101</v>
      </c>
      <c r="F195" s="1">
        <v>42649</v>
      </c>
      <c r="G195">
        <v>148.52804599999999</v>
      </c>
      <c r="H195" s="5">
        <f t="shared" si="21"/>
        <v>-0.14771717051332275</v>
      </c>
      <c r="K195" s="1">
        <v>42649</v>
      </c>
      <c r="L195">
        <v>116.09535200000001</v>
      </c>
      <c r="M195" s="5">
        <f t="shared" si="22"/>
        <v>0.26224419635622498</v>
      </c>
      <c r="P195" s="1">
        <v>42649</v>
      </c>
      <c r="Q195">
        <v>108.55999799999999</v>
      </c>
      <c r="R195" s="5">
        <f t="shared" si="23"/>
        <v>-0.22059282479984002</v>
      </c>
      <c r="U195" s="1">
        <v>42649</v>
      </c>
      <c r="V195">
        <v>6.96</v>
      </c>
      <c r="W195" s="5">
        <f t="shared" si="24"/>
        <v>2.6548672566371638</v>
      </c>
      <c r="Z195" s="1">
        <v>42649</v>
      </c>
      <c r="AA195">
        <v>43.722313</v>
      </c>
      <c r="AB195" s="5">
        <f t="shared" si="25"/>
        <v>-1.2126633785388745</v>
      </c>
      <c r="AE195" s="1">
        <v>42649</v>
      </c>
      <c r="AF195">
        <v>243.35278299999999</v>
      </c>
      <c r="AG195" s="5">
        <f t="shared" si="26"/>
        <v>0.40330351352876248</v>
      </c>
      <c r="AJ195" s="1">
        <v>42649</v>
      </c>
      <c r="AK195">
        <v>60.483291999999999</v>
      </c>
      <c r="AL195" s="5">
        <f t="shared" si="27"/>
        <v>-0.88342183065074653</v>
      </c>
      <c r="AO195" s="1">
        <v>42649</v>
      </c>
      <c r="AP195">
        <v>41.934539999999998</v>
      </c>
      <c r="AQ195" s="5">
        <f t="shared" si="28"/>
        <v>0.53812642491011076</v>
      </c>
      <c r="AT195" s="1">
        <v>42649</v>
      </c>
      <c r="AU195">
        <v>167.47380100000001</v>
      </c>
      <c r="AV195" s="5">
        <f t="shared" si="29"/>
        <v>-0.43506043380946635</v>
      </c>
    </row>
    <row r="196" spans="1:48" x14ac:dyDescent="0.2">
      <c r="A196" s="1">
        <v>42650</v>
      </c>
      <c r="B196">
        <v>11.121537999999999</v>
      </c>
      <c r="C196" s="5">
        <f t="shared" si="20"/>
        <v>-0.60034629553776131</v>
      </c>
      <c r="F196" s="1">
        <v>42650</v>
      </c>
      <c r="G196">
        <v>147.94876099999999</v>
      </c>
      <c r="H196" s="5">
        <f t="shared" si="21"/>
        <v>-0.39001724967148543</v>
      </c>
      <c r="K196" s="1">
        <v>42650</v>
      </c>
      <c r="L196">
        <v>113.626907</v>
      </c>
      <c r="M196" s="5">
        <f t="shared" si="22"/>
        <v>-2.1262220730421681</v>
      </c>
      <c r="P196" s="1">
        <v>42650</v>
      </c>
      <c r="Q196">
        <v>108.639999</v>
      </c>
      <c r="R196" s="5">
        <f t="shared" si="23"/>
        <v>7.3692890082781667E-2</v>
      </c>
      <c r="U196" s="1">
        <v>42650</v>
      </c>
      <c r="V196">
        <v>6.75</v>
      </c>
      <c r="W196" s="5">
        <f t="shared" si="24"/>
        <v>-3.0172413793103443</v>
      </c>
      <c r="Z196" s="1">
        <v>42650</v>
      </c>
      <c r="AA196">
        <v>43.652737000000002</v>
      </c>
      <c r="AB196" s="5">
        <f t="shared" si="25"/>
        <v>-0.1591315628704224</v>
      </c>
      <c r="AE196" s="1">
        <v>42650</v>
      </c>
      <c r="AF196">
        <v>240.130966</v>
      </c>
      <c r="AG196" s="5">
        <f t="shared" si="26"/>
        <v>-1.3239285617703362</v>
      </c>
      <c r="AJ196" s="1">
        <v>42650</v>
      </c>
      <c r="AK196">
        <v>60.579555999999997</v>
      </c>
      <c r="AL196" s="5">
        <f t="shared" si="27"/>
        <v>0.1591580035028482</v>
      </c>
      <c r="AO196" s="1">
        <v>42650</v>
      </c>
      <c r="AP196">
        <v>41.934539999999998</v>
      </c>
      <c r="AQ196" s="5">
        <f t="shared" si="28"/>
        <v>0</v>
      </c>
      <c r="AT196" s="1">
        <v>42650</v>
      </c>
      <c r="AU196">
        <v>167.17134100000001</v>
      </c>
      <c r="AV196" s="5">
        <f t="shared" si="29"/>
        <v>-0.1806013825410199</v>
      </c>
    </row>
    <row r="197" spans="1:48" x14ac:dyDescent="0.2">
      <c r="A197" s="1">
        <v>42653</v>
      </c>
      <c r="B197">
        <v>11.198305</v>
      </c>
      <c r="C197" s="5">
        <f t="shared" ref="C197:C254" si="30">((B197-B196)/B196)*100</f>
        <v>0.69025525066767079</v>
      </c>
      <c r="F197" s="1">
        <v>42653</v>
      </c>
      <c r="G197">
        <v>147.87884500000001</v>
      </c>
      <c r="H197" s="5">
        <f t="shared" ref="H197:H254" si="31">((G197-G196)/G196)*100</f>
        <v>-4.7256901326789676E-2</v>
      </c>
      <c r="K197" s="1">
        <v>42653</v>
      </c>
      <c r="L197">
        <v>115.05703699999999</v>
      </c>
      <c r="M197" s="5">
        <f t="shared" ref="M197:M254" si="32">((L197-L196)/L196)*100</f>
        <v>1.2586191402710551</v>
      </c>
      <c r="P197" s="1">
        <v>42653</v>
      </c>
      <c r="Q197">
        <v>109.239998</v>
      </c>
      <c r="R197" s="5">
        <f t="shared" ref="R197:R254" si="33">((Q197-Q196)/Q196)*100</f>
        <v>0.55228185338992575</v>
      </c>
      <c r="U197" s="1">
        <v>42653</v>
      </c>
      <c r="V197">
        <v>6.84</v>
      </c>
      <c r="W197" s="5">
        <f t="shared" ref="W197:W254" si="34">((V197-V196)/V196)*100</f>
        <v>1.3333333333333313</v>
      </c>
      <c r="Z197" s="1">
        <v>42653</v>
      </c>
      <c r="AA197">
        <v>43.523529000000003</v>
      </c>
      <c r="AB197" s="5">
        <f t="shared" ref="AB197:AB254" si="35">((AA197-AA196)/AA196)*100</f>
        <v>-0.29599060420884588</v>
      </c>
      <c r="AE197" s="1">
        <v>42653</v>
      </c>
      <c r="AF197">
        <v>243.173248</v>
      </c>
      <c r="AG197" s="5">
        <f t="shared" ref="AG197:AG254" si="36">((AF197-AF196)/AF196)*100</f>
        <v>1.2669261489582315</v>
      </c>
      <c r="AJ197" s="1">
        <v>42653</v>
      </c>
      <c r="AK197">
        <v>60.945366</v>
      </c>
      <c r="AL197" s="5">
        <f t="shared" ref="AL197:AL254" si="37">((AK197-AK196)/AK196)*100</f>
        <v>0.60385057955856147</v>
      </c>
      <c r="AO197" s="1">
        <v>42653</v>
      </c>
      <c r="AP197">
        <v>42.451766999999997</v>
      </c>
      <c r="AQ197" s="5">
        <f t="shared" ref="AQ197:AQ254" si="38">((AP197-AP196)/AP196)*100</f>
        <v>1.2334152228687816</v>
      </c>
      <c r="AT197" s="1">
        <v>42653</v>
      </c>
      <c r="AU197">
        <v>166.98594700000001</v>
      </c>
      <c r="AV197" s="5">
        <f t="shared" ref="AV197:AV254" si="39">((AU197-AU196)/AU196)*100</f>
        <v>-0.11090058791835752</v>
      </c>
    </row>
    <row r="198" spans="1:48" x14ac:dyDescent="0.2">
      <c r="A198" s="1">
        <v>42654</v>
      </c>
      <c r="B198">
        <v>11.054368</v>
      </c>
      <c r="C198" s="5">
        <f t="shared" si="30"/>
        <v>-1.2853463091065953</v>
      </c>
      <c r="F198" s="1">
        <v>42654</v>
      </c>
      <c r="G198">
        <v>146.58042900000001</v>
      </c>
      <c r="H198" s="5">
        <f t="shared" si="31"/>
        <v>-0.87802687395888368</v>
      </c>
      <c r="K198" s="1">
        <v>42654</v>
      </c>
      <c r="L198">
        <v>114.577065</v>
      </c>
      <c r="M198" s="5">
        <f t="shared" si="32"/>
        <v>-0.41716005601638206</v>
      </c>
      <c r="P198" s="1">
        <v>42654</v>
      </c>
      <c r="Q198">
        <v>107.370003</v>
      </c>
      <c r="R198" s="5">
        <f t="shared" si="33"/>
        <v>-1.7118226237975609</v>
      </c>
      <c r="U198" s="1">
        <v>42654</v>
      </c>
      <c r="V198">
        <v>6.5</v>
      </c>
      <c r="W198" s="5">
        <f t="shared" si="34"/>
        <v>-4.9707602339181269</v>
      </c>
      <c r="Z198" s="1">
        <v>42654</v>
      </c>
      <c r="AA198">
        <v>42.638947000000002</v>
      </c>
      <c r="AB198" s="5">
        <f t="shared" si="35"/>
        <v>-2.0324225087538323</v>
      </c>
      <c r="AE198" s="1">
        <v>42654</v>
      </c>
      <c r="AF198">
        <v>239.48258999999999</v>
      </c>
      <c r="AG198" s="5">
        <f t="shared" si="36"/>
        <v>-1.5177072438494605</v>
      </c>
      <c r="AJ198" s="1">
        <v>42654</v>
      </c>
      <c r="AK198">
        <v>60.059727000000002</v>
      </c>
      <c r="AL198" s="5">
        <f t="shared" si="37"/>
        <v>-1.4531687282015791</v>
      </c>
      <c r="AO198" s="1">
        <v>42654</v>
      </c>
      <c r="AP198">
        <v>40.168156000000003</v>
      </c>
      <c r="AQ198" s="5">
        <f t="shared" si="38"/>
        <v>-5.3793072971497127</v>
      </c>
      <c r="AT198" s="1">
        <v>42654</v>
      </c>
      <c r="AU198">
        <v>165.561386</v>
      </c>
      <c r="AV198" s="5">
        <f t="shared" si="39"/>
        <v>-0.85310232722757873</v>
      </c>
    </row>
    <row r="199" spans="1:48" x14ac:dyDescent="0.2">
      <c r="A199" s="1">
        <v>42655</v>
      </c>
      <c r="B199">
        <v>11.198305</v>
      </c>
      <c r="C199" s="5">
        <f t="shared" si="30"/>
        <v>1.3020825794835065</v>
      </c>
      <c r="F199" s="1">
        <v>42655</v>
      </c>
      <c r="G199">
        <v>147.778976</v>
      </c>
      <c r="H199" s="5">
        <f t="shared" si="31"/>
        <v>0.81767191444090448</v>
      </c>
      <c r="K199" s="1">
        <v>42655</v>
      </c>
      <c r="L199">
        <v>115.213768</v>
      </c>
      <c r="M199" s="5">
        <f t="shared" si="32"/>
        <v>0.55569847246479653</v>
      </c>
      <c r="P199" s="1">
        <v>42655</v>
      </c>
      <c r="Q199">
        <v>108.050003</v>
      </c>
      <c r="R199" s="5">
        <f t="shared" si="33"/>
        <v>0.63332400204925654</v>
      </c>
      <c r="U199" s="1">
        <v>42655</v>
      </c>
      <c r="V199">
        <v>6.62</v>
      </c>
      <c r="W199" s="5">
        <f t="shared" si="34"/>
        <v>1.8461538461538478</v>
      </c>
      <c r="Z199" s="1">
        <v>42655</v>
      </c>
      <c r="AA199">
        <v>43.066330000000001</v>
      </c>
      <c r="AB199" s="5">
        <f t="shared" si="35"/>
        <v>1.002330099755979</v>
      </c>
      <c r="AE199" s="1">
        <v>42655</v>
      </c>
      <c r="AF199">
        <v>244.03106700000001</v>
      </c>
      <c r="AG199" s="5">
        <f t="shared" si="36"/>
        <v>1.8992933891353103</v>
      </c>
      <c r="AJ199" s="1">
        <v>42655</v>
      </c>
      <c r="AK199">
        <v>59.467098</v>
      </c>
      <c r="AL199" s="5">
        <f t="shared" si="37"/>
        <v>-0.98673275687717033</v>
      </c>
      <c r="AO199" s="1">
        <v>42655</v>
      </c>
      <c r="AP199">
        <v>40.246727</v>
      </c>
      <c r="AQ199" s="5">
        <f t="shared" si="38"/>
        <v>0.19560519531938836</v>
      </c>
      <c r="AT199" s="1">
        <v>42655</v>
      </c>
      <c r="AU199">
        <v>165.60041799999999</v>
      </c>
      <c r="AV199" s="5">
        <f t="shared" si="39"/>
        <v>2.3575545568331822E-2</v>
      </c>
    </row>
    <row r="200" spans="1:48" x14ac:dyDescent="0.2">
      <c r="A200" s="1">
        <v>42656</v>
      </c>
      <c r="B200">
        <v>11.255879999999999</v>
      </c>
      <c r="C200" s="5">
        <f t="shared" si="30"/>
        <v>0.51414030962721535</v>
      </c>
      <c r="F200" s="1">
        <v>42656</v>
      </c>
      <c r="G200">
        <v>146.60041799999999</v>
      </c>
      <c r="H200" s="5">
        <f t="shared" si="31"/>
        <v>-0.79751398466856982</v>
      </c>
      <c r="K200" s="1">
        <v>42656</v>
      </c>
      <c r="L200">
        <v>115.693741</v>
      </c>
      <c r="M200" s="5">
        <f t="shared" si="32"/>
        <v>0.41659344046451208</v>
      </c>
      <c r="P200" s="1">
        <v>42656</v>
      </c>
      <c r="Q200">
        <v>108.010002</v>
      </c>
      <c r="R200" s="5">
        <f t="shared" si="33"/>
        <v>-3.7020822664857983E-2</v>
      </c>
      <c r="U200" s="1">
        <v>42656</v>
      </c>
      <c r="V200">
        <v>6.49</v>
      </c>
      <c r="W200" s="5">
        <f t="shared" si="34"/>
        <v>-1.963746223564953</v>
      </c>
      <c r="Z200" s="1">
        <v>42656</v>
      </c>
      <c r="AA200">
        <v>42.897362000000001</v>
      </c>
      <c r="AB200" s="5">
        <f t="shared" si="35"/>
        <v>-0.39234362435805314</v>
      </c>
      <c r="AE200" s="1">
        <v>42656</v>
      </c>
      <c r="AF200">
        <v>244.09092699999999</v>
      </c>
      <c r="AG200" s="5">
        <f t="shared" si="36"/>
        <v>2.452966367597215E-2</v>
      </c>
      <c r="AJ200" s="1">
        <v>42656</v>
      </c>
      <c r="AK200">
        <v>59.408805999999998</v>
      </c>
      <c r="AL200" s="5">
        <f t="shared" si="37"/>
        <v>-9.802395267379882E-2</v>
      </c>
      <c r="AO200" s="1">
        <v>42656</v>
      </c>
      <c r="AP200">
        <v>40.246727</v>
      </c>
      <c r="AQ200" s="5">
        <f t="shared" si="38"/>
        <v>0</v>
      </c>
      <c r="AT200" s="1">
        <v>42656</v>
      </c>
      <c r="AU200">
        <v>165.893158</v>
      </c>
      <c r="AV200" s="5">
        <f t="shared" si="39"/>
        <v>0.17677491611163029</v>
      </c>
    </row>
    <row r="201" spans="1:48" x14ac:dyDescent="0.2">
      <c r="A201" s="1">
        <v>42657</v>
      </c>
      <c r="B201">
        <v>11.102345</v>
      </c>
      <c r="C201" s="5">
        <f t="shared" si="30"/>
        <v>-1.3640426159482844</v>
      </c>
      <c r="F201" s="1">
        <v>42657</v>
      </c>
      <c r="G201">
        <v>146.460587</v>
      </c>
      <c r="H201" s="5">
        <f t="shared" si="31"/>
        <v>-9.5382401979226775E-2</v>
      </c>
      <c r="K201" s="1">
        <v>42657</v>
      </c>
      <c r="L201">
        <v>115.830879</v>
      </c>
      <c r="M201" s="5">
        <f t="shared" si="32"/>
        <v>0.11853536657613405</v>
      </c>
      <c r="P201" s="1">
        <v>42657</v>
      </c>
      <c r="Q201">
        <v>107.839996</v>
      </c>
      <c r="R201" s="5">
        <f t="shared" si="33"/>
        <v>-0.15739838612353768</v>
      </c>
      <c r="U201" s="1">
        <v>42657</v>
      </c>
      <c r="V201">
        <v>6.75</v>
      </c>
      <c r="W201" s="5">
        <f t="shared" si="34"/>
        <v>4.0061633281972231</v>
      </c>
      <c r="Z201" s="1">
        <v>42657</v>
      </c>
      <c r="AA201">
        <v>43.424137000000002</v>
      </c>
      <c r="AB201" s="5">
        <f t="shared" si="35"/>
        <v>1.2279892642349446</v>
      </c>
      <c r="AE201" s="1">
        <v>42657</v>
      </c>
      <c r="AF201">
        <v>247.52404799999999</v>
      </c>
      <c r="AG201" s="5">
        <f t="shared" si="36"/>
        <v>1.4064926714789361</v>
      </c>
      <c r="AJ201" s="1">
        <v>42657</v>
      </c>
      <c r="AK201">
        <v>58.456702999999997</v>
      </c>
      <c r="AL201" s="5">
        <f t="shared" si="37"/>
        <v>-1.60262941490526</v>
      </c>
      <c r="AO201" s="1">
        <v>42657</v>
      </c>
      <c r="AP201">
        <v>40.060122999999997</v>
      </c>
      <c r="AQ201" s="5">
        <f t="shared" si="38"/>
        <v>-0.46365012489090768</v>
      </c>
      <c r="AT201" s="1">
        <v>42657</v>
      </c>
      <c r="AU201">
        <v>166.195618</v>
      </c>
      <c r="AV201" s="5">
        <f t="shared" si="39"/>
        <v>0.18232216665620193</v>
      </c>
    </row>
    <row r="202" spans="1:48" x14ac:dyDescent="0.2">
      <c r="A202" s="1">
        <v>42660</v>
      </c>
      <c r="B202">
        <v>11.236687999999999</v>
      </c>
      <c r="C202" s="5">
        <f t="shared" si="30"/>
        <v>1.2100416623695214</v>
      </c>
      <c r="F202" s="1">
        <v>42660</v>
      </c>
      <c r="G202">
        <v>143.09471099999999</v>
      </c>
      <c r="H202" s="5">
        <f t="shared" si="31"/>
        <v>-2.2981445513392722</v>
      </c>
      <c r="K202" s="1">
        <v>42660</v>
      </c>
      <c r="L202">
        <v>114.459518</v>
      </c>
      <c r="M202" s="5">
        <f t="shared" si="32"/>
        <v>-1.183933862748286</v>
      </c>
      <c r="P202" s="1">
        <v>42660</v>
      </c>
      <c r="Q202">
        <v>107.489998</v>
      </c>
      <c r="R202" s="5">
        <f t="shared" si="33"/>
        <v>-0.32455305358134412</v>
      </c>
      <c r="U202" s="1">
        <v>42660</v>
      </c>
      <c r="V202">
        <v>6.67</v>
      </c>
      <c r="W202" s="5">
        <f t="shared" si="34"/>
        <v>-1.1851851851851862</v>
      </c>
      <c r="Z202" s="1">
        <v>42660</v>
      </c>
      <c r="AA202">
        <v>43.26511</v>
      </c>
      <c r="AB202" s="5">
        <f t="shared" si="35"/>
        <v>-0.36621798609377498</v>
      </c>
      <c r="AE202" s="1">
        <v>42660</v>
      </c>
      <c r="AF202">
        <v>241.66577100000001</v>
      </c>
      <c r="AG202" s="5">
        <f t="shared" si="36"/>
        <v>-2.3667506439616672</v>
      </c>
      <c r="AJ202" s="1">
        <v>42660</v>
      </c>
      <c r="AK202">
        <v>58.427562999999999</v>
      </c>
      <c r="AL202" s="5">
        <f t="shared" si="37"/>
        <v>-4.9848859933134045E-2</v>
      </c>
      <c r="AO202" s="1">
        <v>42660</v>
      </c>
      <c r="AP202">
        <v>39.863705000000003</v>
      </c>
      <c r="AQ202" s="5">
        <f t="shared" si="38"/>
        <v>-0.49030803025740638</v>
      </c>
      <c r="AT202" s="1">
        <v>42660</v>
      </c>
      <c r="AU202">
        <v>166.07853700000001</v>
      </c>
      <c r="AV202" s="5">
        <f t="shared" si="39"/>
        <v>-7.0447705787275744E-2</v>
      </c>
    </row>
    <row r="203" spans="1:48" x14ac:dyDescent="0.2">
      <c r="A203" s="1">
        <v>42661</v>
      </c>
      <c r="B203">
        <v>11.390222</v>
      </c>
      <c r="C203" s="5">
        <f t="shared" si="30"/>
        <v>1.3663634693781701</v>
      </c>
      <c r="F203" s="1">
        <v>42661</v>
      </c>
      <c r="G203">
        <v>142.81504799999999</v>
      </c>
      <c r="H203" s="5">
        <f t="shared" si="31"/>
        <v>-0.19543908928960999</v>
      </c>
      <c r="K203" s="1">
        <v>42661</v>
      </c>
      <c r="L203">
        <v>115.125603</v>
      </c>
      <c r="M203" s="5">
        <f t="shared" si="32"/>
        <v>0.5819393717873208</v>
      </c>
      <c r="P203" s="1">
        <v>42661</v>
      </c>
      <c r="Q203">
        <v>108.41999800000001</v>
      </c>
      <c r="R203" s="5">
        <f t="shared" si="33"/>
        <v>0.86519677858772215</v>
      </c>
      <c r="U203" s="1">
        <v>42661</v>
      </c>
      <c r="V203">
        <v>6.73</v>
      </c>
      <c r="W203" s="5">
        <f t="shared" si="34"/>
        <v>0.89955022488756364</v>
      </c>
      <c r="Z203" s="1">
        <v>42661</v>
      </c>
      <c r="AA203">
        <v>43.911155999999998</v>
      </c>
      <c r="AB203" s="5">
        <f t="shared" si="35"/>
        <v>1.493226297124862</v>
      </c>
      <c r="AE203" s="1">
        <v>42661</v>
      </c>
      <c r="AF203">
        <v>245.987122</v>
      </c>
      <c r="AG203" s="5">
        <f t="shared" si="36"/>
        <v>1.788151868640095</v>
      </c>
      <c r="AJ203" s="1">
        <v>42661</v>
      </c>
      <c r="AK203">
        <v>59.797412999999999</v>
      </c>
      <c r="AL203" s="5">
        <f t="shared" si="37"/>
        <v>2.3445270171545571</v>
      </c>
      <c r="AO203" s="1">
        <v>42661</v>
      </c>
      <c r="AP203">
        <v>40.433326999999998</v>
      </c>
      <c r="AQ203" s="5">
        <f t="shared" si="38"/>
        <v>1.4289238795039132</v>
      </c>
      <c r="AT203" s="1">
        <v>42661</v>
      </c>
      <c r="AU203">
        <v>165.82484400000001</v>
      </c>
      <c r="AV203" s="5">
        <f t="shared" si="39"/>
        <v>-0.15275483791141439</v>
      </c>
    </row>
    <row r="204" spans="1:48" x14ac:dyDescent="0.2">
      <c r="A204" s="1">
        <v>42662</v>
      </c>
      <c r="B204">
        <v>11.630115999999999</v>
      </c>
      <c r="C204" s="5">
        <f t="shared" si="30"/>
        <v>2.1061398100932505</v>
      </c>
      <c r="F204" s="1">
        <v>42662</v>
      </c>
      <c r="G204">
        <v>142.055984</v>
      </c>
      <c r="H204" s="5">
        <f t="shared" si="31"/>
        <v>-0.53150141433274956</v>
      </c>
      <c r="K204" s="1">
        <v>42662</v>
      </c>
      <c r="L204">
        <v>115.620476</v>
      </c>
      <c r="M204" s="5">
        <f t="shared" si="32"/>
        <v>0.42985486034761389</v>
      </c>
      <c r="P204" s="1">
        <v>42662</v>
      </c>
      <c r="Q204">
        <v>108.389999</v>
      </c>
      <c r="R204" s="5">
        <f t="shared" si="33"/>
        <v>-2.7669249726423775E-2</v>
      </c>
      <c r="U204" s="1">
        <v>42662</v>
      </c>
      <c r="V204">
        <v>6.77</v>
      </c>
      <c r="W204" s="5">
        <f t="shared" si="34"/>
        <v>0.59435364041603489</v>
      </c>
      <c r="Z204" s="1">
        <v>42662</v>
      </c>
      <c r="AA204">
        <v>43.523529000000003</v>
      </c>
      <c r="AB204" s="5">
        <f t="shared" si="35"/>
        <v>-0.88275289313721295</v>
      </c>
      <c r="AE204" s="1">
        <v>42662</v>
      </c>
      <c r="AF204">
        <v>242.573959</v>
      </c>
      <c r="AG204" s="5">
        <f t="shared" si="36"/>
        <v>-1.3875372711584459</v>
      </c>
      <c r="AJ204" s="1">
        <v>42662</v>
      </c>
      <c r="AK204">
        <v>59.680832000000002</v>
      </c>
      <c r="AL204" s="5">
        <f t="shared" si="37"/>
        <v>-0.19495993915321469</v>
      </c>
      <c r="AO204" s="1">
        <v>42662</v>
      </c>
      <c r="AP204">
        <v>39.294083000000001</v>
      </c>
      <c r="AQ204" s="5">
        <f t="shared" si="38"/>
        <v>-2.8175865913779443</v>
      </c>
      <c r="AT204" s="1">
        <v>42662</v>
      </c>
      <c r="AU204">
        <v>165.78581199999999</v>
      </c>
      <c r="AV204" s="5">
        <f t="shared" si="39"/>
        <v>-2.353808938304815E-2</v>
      </c>
    </row>
    <row r="205" spans="1:48" x14ac:dyDescent="0.2">
      <c r="A205" s="1">
        <v>42663</v>
      </c>
      <c r="B205">
        <v>11.562944999999999</v>
      </c>
      <c r="C205" s="5">
        <f t="shared" si="30"/>
        <v>-0.5775608772947759</v>
      </c>
      <c r="F205" s="1">
        <v>42663</v>
      </c>
      <c r="G205">
        <v>141.12712099999999</v>
      </c>
      <c r="H205" s="5">
        <f t="shared" si="31"/>
        <v>-0.65387108226289636</v>
      </c>
      <c r="K205" s="1">
        <v>42663</v>
      </c>
      <c r="L205">
        <v>114.858383</v>
      </c>
      <c r="M205" s="5">
        <f t="shared" si="32"/>
        <v>-0.65913324902761439</v>
      </c>
      <c r="P205" s="1">
        <v>42663</v>
      </c>
      <c r="Q205">
        <v>109.029999</v>
      </c>
      <c r="R205" s="5">
        <f t="shared" si="33"/>
        <v>0.59046038002085466</v>
      </c>
      <c r="U205" s="1">
        <v>42663</v>
      </c>
      <c r="V205">
        <v>6.96</v>
      </c>
      <c r="W205" s="5">
        <f t="shared" si="34"/>
        <v>2.8064992614475686</v>
      </c>
      <c r="Z205" s="1">
        <v>42663</v>
      </c>
      <c r="AA205">
        <v>44.050303999999997</v>
      </c>
      <c r="AB205" s="5">
        <f t="shared" si="35"/>
        <v>1.2103223523074003</v>
      </c>
      <c r="AE205" s="1">
        <v>42663</v>
      </c>
      <c r="AF205">
        <v>241.66577100000001</v>
      </c>
      <c r="AG205" s="5">
        <f t="shared" si="36"/>
        <v>-0.37439632998692801</v>
      </c>
      <c r="AJ205" s="1">
        <v>42663</v>
      </c>
      <c r="AK205">
        <v>60.001434000000003</v>
      </c>
      <c r="AL205" s="5">
        <f t="shared" si="37"/>
        <v>0.53719425359217665</v>
      </c>
      <c r="AO205" s="1">
        <v>42663</v>
      </c>
      <c r="AP205">
        <v>40.011023999999999</v>
      </c>
      <c r="AQ205" s="5">
        <f t="shared" si="38"/>
        <v>1.8245520578759875</v>
      </c>
      <c r="AT205" s="1">
        <v>42663</v>
      </c>
      <c r="AU205">
        <v>165.73701500000001</v>
      </c>
      <c r="AV205" s="5">
        <f t="shared" si="39"/>
        <v>-2.943376119542673E-2</v>
      </c>
    </row>
    <row r="206" spans="1:48" x14ac:dyDescent="0.2">
      <c r="A206" s="1">
        <v>42664</v>
      </c>
      <c r="B206">
        <v>11.534159000000001</v>
      </c>
      <c r="C206" s="5">
        <f t="shared" si="30"/>
        <v>-0.24895041877305846</v>
      </c>
      <c r="F206" s="1">
        <v>42664</v>
      </c>
      <c r="G206">
        <v>141.756348</v>
      </c>
      <c r="H206" s="5">
        <f t="shared" si="31"/>
        <v>0.44585831237924456</v>
      </c>
      <c r="K206" s="1">
        <v>42664</v>
      </c>
      <c r="L206">
        <v>114.403099</v>
      </c>
      <c r="M206" s="5">
        <f t="shared" si="32"/>
        <v>-0.39638726239077038</v>
      </c>
      <c r="P206" s="1">
        <v>42664</v>
      </c>
      <c r="Q206">
        <v>109.029999</v>
      </c>
      <c r="R206" s="5">
        <f t="shared" si="33"/>
        <v>0</v>
      </c>
      <c r="U206" s="1">
        <v>42664</v>
      </c>
      <c r="V206">
        <v>6.52</v>
      </c>
      <c r="W206" s="5">
        <f t="shared" si="34"/>
        <v>-6.3218390804597764</v>
      </c>
      <c r="Z206" s="1">
        <v>42664</v>
      </c>
      <c r="AA206">
        <v>44.268967000000004</v>
      </c>
      <c r="AB206" s="5">
        <f t="shared" si="35"/>
        <v>0.49639385008558967</v>
      </c>
      <c r="AE206" s="1">
        <v>42664</v>
      </c>
      <c r="AF206">
        <v>239.35043300000001</v>
      </c>
      <c r="AG206" s="5">
        <f t="shared" si="36"/>
        <v>-0.95807444737384706</v>
      </c>
      <c r="AJ206" s="1">
        <v>42664</v>
      </c>
      <c r="AK206">
        <v>59.243645000000001</v>
      </c>
      <c r="AL206" s="5">
        <f t="shared" si="37"/>
        <v>-1.262951482126248</v>
      </c>
      <c r="AO206" s="1">
        <v>42664</v>
      </c>
      <c r="AP206">
        <v>39.775317999999999</v>
      </c>
      <c r="AQ206" s="5">
        <f t="shared" si="38"/>
        <v>-0.58910264331150441</v>
      </c>
      <c r="AT206" s="1">
        <v>42664</v>
      </c>
      <c r="AU206">
        <v>165.38575700000001</v>
      </c>
      <c r="AV206" s="5">
        <f t="shared" si="39"/>
        <v>-0.21193696531821896</v>
      </c>
    </row>
    <row r="207" spans="1:48" x14ac:dyDescent="0.2">
      <c r="A207" s="1">
        <v>42667</v>
      </c>
      <c r="B207">
        <v>11.562944999999999</v>
      </c>
      <c r="C207" s="5">
        <f t="shared" si="30"/>
        <v>0.24957172863663857</v>
      </c>
      <c r="F207" s="1">
        <v>42667</v>
      </c>
      <c r="G207">
        <v>140.927368</v>
      </c>
      <c r="H207" s="5">
        <f t="shared" si="31"/>
        <v>-0.58479215336444856</v>
      </c>
      <c r="K207" s="1">
        <v>42667</v>
      </c>
      <c r="L207">
        <v>114.61095400000001</v>
      </c>
      <c r="M207" s="5">
        <f t="shared" si="32"/>
        <v>0.18168651183130033</v>
      </c>
      <c r="P207" s="1">
        <v>42667</v>
      </c>
      <c r="Q207">
        <v>110.80999799999999</v>
      </c>
      <c r="R207" s="5">
        <f t="shared" si="33"/>
        <v>1.6325772872840156</v>
      </c>
      <c r="U207" s="1">
        <v>42667</v>
      </c>
      <c r="V207">
        <v>7.01</v>
      </c>
      <c r="W207" s="5">
        <f t="shared" si="34"/>
        <v>7.5153374233128876</v>
      </c>
      <c r="Z207" s="1">
        <v>42667</v>
      </c>
      <c r="AA207">
        <v>45.193306</v>
      </c>
      <c r="AB207" s="5">
        <f t="shared" si="35"/>
        <v>2.0880067068201438</v>
      </c>
      <c r="AE207" s="1">
        <v>42667</v>
      </c>
      <c r="AF207">
        <v>239.280563</v>
      </c>
      <c r="AG207" s="5">
        <f t="shared" si="36"/>
        <v>-2.9191507666923147E-2</v>
      </c>
      <c r="AJ207" s="1">
        <v>42667</v>
      </c>
      <c r="AK207">
        <v>59.379662000000003</v>
      </c>
      <c r="AL207" s="5">
        <f t="shared" si="37"/>
        <v>0.2295891820970882</v>
      </c>
      <c r="AO207" s="1">
        <v>42667</v>
      </c>
      <c r="AP207">
        <v>39.686928000000002</v>
      </c>
      <c r="AQ207" s="5">
        <f t="shared" si="38"/>
        <v>-0.22222323904486913</v>
      </c>
      <c r="AT207" s="1">
        <v>42667</v>
      </c>
      <c r="AU207">
        <v>167.112808</v>
      </c>
      <c r="AV207" s="5">
        <f t="shared" si="39"/>
        <v>1.0442561870669362</v>
      </c>
    </row>
    <row r="208" spans="1:48" x14ac:dyDescent="0.2">
      <c r="A208" s="1">
        <v>42668</v>
      </c>
      <c r="B208">
        <v>11.534159000000001</v>
      </c>
      <c r="C208" s="5">
        <f t="shared" si="30"/>
        <v>-0.24895041877305846</v>
      </c>
      <c r="F208" s="1">
        <v>42668</v>
      </c>
      <c r="G208">
        <v>143.63404800000001</v>
      </c>
      <c r="H208" s="5">
        <f t="shared" si="31"/>
        <v>1.9206205568247081</v>
      </c>
      <c r="K208" s="1">
        <v>42668</v>
      </c>
      <c r="L208">
        <v>114.086388</v>
      </c>
      <c r="M208" s="5">
        <f t="shared" si="32"/>
        <v>-0.45769272629909974</v>
      </c>
      <c r="P208" s="1">
        <v>42668</v>
      </c>
      <c r="Q208">
        <v>109.029999</v>
      </c>
      <c r="R208" s="5">
        <f t="shared" si="33"/>
        <v>-1.6063523437659384</v>
      </c>
      <c r="U208" s="1">
        <v>42668</v>
      </c>
      <c r="V208">
        <v>7.5</v>
      </c>
      <c r="W208" s="5">
        <f t="shared" si="34"/>
        <v>6.9900142653352386</v>
      </c>
      <c r="Z208" s="1">
        <v>42668</v>
      </c>
      <c r="AA208">
        <v>44.785800999999999</v>
      </c>
      <c r="AB208" s="5">
        <f t="shared" si="35"/>
        <v>-0.90169327289311485</v>
      </c>
      <c r="AE208" s="1">
        <v>42668</v>
      </c>
      <c r="AF208">
        <v>233.42228700000001</v>
      </c>
      <c r="AG208" s="5">
        <f t="shared" si="36"/>
        <v>-2.4482874524162623</v>
      </c>
      <c r="AJ208" s="1">
        <v>42668</v>
      </c>
      <c r="AK208">
        <v>59.797412999999999</v>
      </c>
      <c r="AL208" s="5">
        <f t="shared" si="37"/>
        <v>0.70352539224624677</v>
      </c>
      <c r="AO208" s="1">
        <v>42668</v>
      </c>
      <c r="AP208">
        <v>39.470860000000002</v>
      </c>
      <c r="AQ208" s="5">
        <f t="shared" si="38"/>
        <v>-0.54443115375420326</v>
      </c>
      <c r="AT208" s="1">
        <v>42668</v>
      </c>
      <c r="AU208">
        <v>162.19512900000001</v>
      </c>
      <c r="AV208" s="5">
        <f t="shared" si="39"/>
        <v>-2.9427301586602459</v>
      </c>
    </row>
    <row r="209" spans="1:48" x14ac:dyDescent="0.2">
      <c r="A209" s="1">
        <v>42669</v>
      </c>
      <c r="B209">
        <v>11.514965999999999</v>
      </c>
      <c r="C209" s="5">
        <f t="shared" si="30"/>
        <v>-0.16640138219007861</v>
      </c>
      <c r="F209" s="1">
        <v>42669</v>
      </c>
      <c r="G209">
        <v>143.78389000000001</v>
      </c>
      <c r="H209" s="5">
        <f t="shared" si="31"/>
        <v>0.10432206157693662</v>
      </c>
      <c r="K209" s="1">
        <v>42669</v>
      </c>
      <c r="L209">
        <v>114.26454200000001</v>
      </c>
      <c r="M209" s="5">
        <f t="shared" si="32"/>
        <v>0.15615710438655167</v>
      </c>
      <c r="P209" s="1">
        <v>42669</v>
      </c>
      <c r="Q209">
        <v>107.970001</v>
      </c>
      <c r="R209" s="5">
        <f t="shared" si="33"/>
        <v>-0.97220765818773169</v>
      </c>
      <c r="U209" s="1">
        <v>42669</v>
      </c>
      <c r="V209">
        <v>7.29</v>
      </c>
      <c r="W209" s="5">
        <f t="shared" si="34"/>
        <v>-2.7999999999999994</v>
      </c>
      <c r="Z209" s="1">
        <v>42669</v>
      </c>
      <c r="AA209">
        <v>44.169570999999998</v>
      </c>
      <c r="AB209" s="5">
        <f t="shared" si="35"/>
        <v>-1.3759494889909452</v>
      </c>
      <c r="AE209" s="1">
        <v>42669</v>
      </c>
      <c r="AF209">
        <v>230.87737999999999</v>
      </c>
      <c r="AG209" s="5">
        <f t="shared" si="36"/>
        <v>-1.0902587892132267</v>
      </c>
      <c r="AJ209" s="1">
        <v>42669</v>
      </c>
      <c r="AK209">
        <v>59.282505</v>
      </c>
      <c r="AL209" s="5">
        <f t="shared" si="37"/>
        <v>-0.8610874186145786</v>
      </c>
      <c r="AO209" s="1">
        <v>42669</v>
      </c>
      <c r="AP209">
        <v>39.244979999999998</v>
      </c>
      <c r="AQ209" s="5">
        <f t="shared" si="38"/>
        <v>-0.57227027736412028</v>
      </c>
      <c r="AT209" s="1">
        <v>42669</v>
      </c>
      <c r="AU209">
        <v>162.46833799999999</v>
      </c>
      <c r="AV209" s="5">
        <f t="shared" si="39"/>
        <v>0.168444639296153</v>
      </c>
    </row>
    <row r="210" spans="1:48" x14ac:dyDescent="0.2">
      <c r="A210" s="1">
        <v>42670</v>
      </c>
      <c r="B210">
        <v>11.342241</v>
      </c>
      <c r="C210" s="5">
        <f t="shared" si="30"/>
        <v>-1.5000044290187204</v>
      </c>
      <c r="F210" s="1">
        <v>42670</v>
      </c>
      <c r="G210">
        <v>139.049667</v>
      </c>
      <c r="H210" s="5">
        <f t="shared" si="31"/>
        <v>-3.2925962706948697</v>
      </c>
      <c r="K210" s="1">
        <v>42670</v>
      </c>
      <c r="L210">
        <v>114.27443700000001</v>
      </c>
      <c r="M210" s="5">
        <f t="shared" si="32"/>
        <v>8.6597292797972354E-3</v>
      </c>
      <c r="P210" s="1">
        <v>42670</v>
      </c>
      <c r="Q210">
        <v>107.07</v>
      </c>
      <c r="R210" s="5">
        <f t="shared" si="33"/>
        <v>-0.83356579759594818</v>
      </c>
      <c r="U210" s="1">
        <v>42670</v>
      </c>
      <c r="V210">
        <v>7.11</v>
      </c>
      <c r="W210" s="5">
        <f t="shared" si="34"/>
        <v>-2.4691358024691317</v>
      </c>
      <c r="Z210" s="1">
        <v>42670</v>
      </c>
      <c r="AA210">
        <v>43.453957000000003</v>
      </c>
      <c r="AB210" s="5">
        <f t="shared" si="35"/>
        <v>-1.6201515744855097</v>
      </c>
      <c r="AE210" s="1">
        <v>42670</v>
      </c>
      <c r="AF210">
        <v>225.388397</v>
      </c>
      <c r="AG210" s="5">
        <f t="shared" si="36"/>
        <v>-2.3774451182701357</v>
      </c>
      <c r="AJ210" s="1">
        <v>42670</v>
      </c>
      <c r="AK210">
        <v>59.709972</v>
      </c>
      <c r="AL210" s="5">
        <f t="shared" si="37"/>
        <v>0.72106770791821295</v>
      </c>
      <c r="AO210" s="1">
        <v>42670</v>
      </c>
      <c r="AP210">
        <v>39.569077</v>
      </c>
      <c r="AQ210" s="5">
        <f t="shared" si="38"/>
        <v>0.82583046290252116</v>
      </c>
      <c r="AT210" s="1">
        <v>42670</v>
      </c>
      <c r="AU210">
        <v>161.73654199999999</v>
      </c>
      <c r="AV210" s="5">
        <f t="shared" si="39"/>
        <v>-0.4504237619516997</v>
      </c>
    </row>
    <row r="211" spans="1:48" x14ac:dyDescent="0.2">
      <c r="A211" s="1">
        <v>42671</v>
      </c>
      <c r="B211">
        <v>11.284126000000001</v>
      </c>
      <c r="C211" s="5">
        <f t="shared" si="30"/>
        <v>-0.5123766987493833</v>
      </c>
      <c r="F211" s="1">
        <v>42671</v>
      </c>
      <c r="G211">
        <v>140.028458</v>
      </c>
      <c r="H211" s="5">
        <f t="shared" si="31"/>
        <v>0.7039146666924424</v>
      </c>
      <c r="K211" s="1">
        <v>42671</v>
      </c>
      <c r="L211">
        <v>114.482285</v>
      </c>
      <c r="M211" s="5">
        <f t="shared" si="32"/>
        <v>0.18188494772457156</v>
      </c>
      <c r="P211" s="1">
        <v>42671</v>
      </c>
      <c r="Q211">
        <v>107.599998</v>
      </c>
      <c r="R211" s="5">
        <f t="shared" si="33"/>
        <v>0.4950014009526536</v>
      </c>
      <c r="U211" s="1">
        <v>42671</v>
      </c>
      <c r="V211">
        <v>7.2</v>
      </c>
      <c r="W211" s="5">
        <f t="shared" si="34"/>
        <v>1.2658227848101244</v>
      </c>
      <c r="Z211" s="1">
        <v>42671</v>
      </c>
      <c r="AA211">
        <v>43.056389000000003</v>
      </c>
      <c r="AB211" s="5">
        <f t="shared" si="35"/>
        <v>-0.91491782900231544</v>
      </c>
      <c r="AE211" s="1">
        <v>42671</v>
      </c>
      <c r="AF211">
        <v>222.653885</v>
      </c>
      <c r="AG211" s="5">
        <f t="shared" si="36"/>
        <v>-1.2132443534792945</v>
      </c>
      <c r="AJ211" s="1">
        <v>42671</v>
      </c>
      <c r="AK211">
        <v>55.959885</v>
      </c>
      <c r="AL211" s="5">
        <f t="shared" si="37"/>
        <v>-6.2805036987791594</v>
      </c>
      <c r="AO211" s="1">
        <v>42671</v>
      </c>
      <c r="AP211">
        <v>38.832492999999999</v>
      </c>
      <c r="AQ211" s="5">
        <f t="shared" si="38"/>
        <v>-1.861514232439641</v>
      </c>
      <c r="AT211" s="1">
        <v>42671</v>
      </c>
      <c r="AU211">
        <v>161.74629200000001</v>
      </c>
      <c r="AV211" s="5">
        <f t="shared" si="39"/>
        <v>6.0283222823109698E-3</v>
      </c>
    </row>
    <row r="212" spans="1:48" x14ac:dyDescent="0.2">
      <c r="A212" s="1">
        <v>42674</v>
      </c>
      <c r="B212">
        <v>11.400358000000001</v>
      </c>
      <c r="C212" s="5">
        <f t="shared" si="30"/>
        <v>1.0300487605331605</v>
      </c>
      <c r="F212" s="1">
        <v>42674</v>
      </c>
      <c r="G212">
        <v>139.90862999999999</v>
      </c>
      <c r="H212" s="5">
        <f t="shared" si="31"/>
        <v>-8.5574033815335224E-2</v>
      </c>
      <c r="K212" s="1">
        <v>42674</v>
      </c>
      <c r="L212">
        <v>115.046425</v>
      </c>
      <c r="M212" s="5">
        <f t="shared" si="32"/>
        <v>0.49277493019989488</v>
      </c>
      <c r="P212" s="1">
        <v>42674</v>
      </c>
      <c r="Q212">
        <v>107.510002</v>
      </c>
      <c r="R212" s="5">
        <f t="shared" si="33"/>
        <v>-8.3639406759096133E-2</v>
      </c>
      <c r="U212" s="1">
        <v>42674</v>
      </c>
      <c r="V212">
        <v>7.23</v>
      </c>
      <c r="W212" s="5">
        <f t="shared" si="34"/>
        <v>0.41666666666667013</v>
      </c>
      <c r="Z212" s="1">
        <v>42674</v>
      </c>
      <c r="AA212">
        <v>42.907299000000002</v>
      </c>
      <c r="AB212" s="5">
        <f t="shared" si="35"/>
        <v>-0.34626684555456111</v>
      </c>
      <c r="AE212" s="1">
        <v>42674</v>
      </c>
      <c r="AF212">
        <v>223.12294</v>
      </c>
      <c r="AG212" s="5">
        <f t="shared" si="36"/>
        <v>0.21066553588319259</v>
      </c>
      <c r="AJ212" s="1">
        <v>42674</v>
      </c>
      <c r="AK212">
        <v>54.191707999999998</v>
      </c>
      <c r="AL212" s="5">
        <f t="shared" si="37"/>
        <v>-3.1597223618311605</v>
      </c>
      <c r="AO212" s="1">
        <v>42674</v>
      </c>
      <c r="AP212">
        <v>38.537864999999996</v>
      </c>
      <c r="AQ212" s="5">
        <f t="shared" si="38"/>
        <v>-0.75871513065103235</v>
      </c>
      <c r="AT212" s="1">
        <v>42674</v>
      </c>
      <c r="AU212">
        <v>161.28772000000001</v>
      </c>
      <c r="AV212" s="5">
        <f t="shared" si="39"/>
        <v>-0.28351314538944961</v>
      </c>
    </row>
    <row r="213" spans="1:48" x14ac:dyDescent="0.2">
      <c r="A213" s="1">
        <v>42675</v>
      </c>
      <c r="B213">
        <v>11.284126000000001</v>
      </c>
      <c r="C213" s="5">
        <f t="shared" si="30"/>
        <v>-1.0195469300174618</v>
      </c>
      <c r="F213" s="1">
        <v>42675</v>
      </c>
      <c r="G213">
        <v>139.61895799999999</v>
      </c>
      <c r="H213" s="5">
        <f t="shared" si="31"/>
        <v>-0.20704369701854414</v>
      </c>
      <c r="K213" s="1">
        <v>42675</v>
      </c>
      <c r="L213">
        <v>114.947456</v>
      </c>
      <c r="M213" s="5">
        <f t="shared" si="32"/>
        <v>-8.6025271971725117E-2</v>
      </c>
      <c r="P213" s="1">
        <v>42675</v>
      </c>
      <c r="Q213">
        <v>106.870003</v>
      </c>
      <c r="R213" s="5">
        <f t="shared" si="33"/>
        <v>-0.59529251985317899</v>
      </c>
      <c r="U213" s="1">
        <v>42675</v>
      </c>
      <c r="V213">
        <v>7.09</v>
      </c>
      <c r="W213" s="5">
        <f t="shared" si="34"/>
        <v>-1.9363762102351392</v>
      </c>
      <c r="Z213" s="1">
        <v>42675</v>
      </c>
      <c r="AA213">
        <v>42.340767</v>
      </c>
      <c r="AB213" s="5">
        <f t="shared" si="35"/>
        <v>-1.320362766251034</v>
      </c>
      <c r="AE213" s="1">
        <v>42675</v>
      </c>
      <c r="AF213">
        <v>220.15887499999999</v>
      </c>
      <c r="AG213" s="5">
        <f t="shared" si="36"/>
        <v>-1.3284447578541252</v>
      </c>
      <c r="AJ213" s="1">
        <v>42675</v>
      </c>
      <c r="AK213">
        <v>54.842627999999998</v>
      </c>
      <c r="AL213" s="5">
        <f t="shared" si="37"/>
        <v>1.2011431712025007</v>
      </c>
      <c r="AO213" s="1">
        <v>42675</v>
      </c>
      <c r="AP213">
        <v>38.351264999999998</v>
      </c>
      <c r="AQ213" s="5">
        <f t="shared" si="38"/>
        <v>-0.48419911170480923</v>
      </c>
      <c r="AT213" s="1">
        <v>42675</v>
      </c>
      <c r="AU213">
        <v>160.26319899999999</v>
      </c>
      <c r="AV213" s="5">
        <f t="shared" si="39"/>
        <v>-0.63521326980133463</v>
      </c>
    </row>
    <row r="214" spans="1:48" x14ac:dyDescent="0.2">
      <c r="A214" s="1">
        <v>42676</v>
      </c>
      <c r="B214">
        <v>11.100094</v>
      </c>
      <c r="C214" s="5">
        <f t="shared" si="30"/>
        <v>-1.6308928134974758</v>
      </c>
      <c r="F214" s="1">
        <v>42676</v>
      </c>
      <c r="G214">
        <v>137.97099299999999</v>
      </c>
      <c r="H214" s="5">
        <f t="shared" si="31"/>
        <v>-1.180330396105663</v>
      </c>
      <c r="K214" s="1">
        <v>42676</v>
      </c>
      <c r="L214">
        <v>117.39209700000001</v>
      </c>
      <c r="M214" s="5">
        <f t="shared" si="32"/>
        <v>2.1267465023323386</v>
      </c>
      <c r="P214" s="1">
        <v>42676</v>
      </c>
      <c r="Q214">
        <v>105.889999</v>
      </c>
      <c r="R214" s="5">
        <f t="shared" si="33"/>
        <v>-0.91700568212765354</v>
      </c>
      <c r="U214" s="1">
        <v>42676</v>
      </c>
      <c r="V214">
        <v>6.76</v>
      </c>
      <c r="W214" s="5">
        <f t="shared" si="34"/>
        <v>-4.6544428772919613</v>
      </c>
      <c r="Z214" s="1">
        <v>42676</v>
      </c>
      <c r="AA214">
        <v>42.340767</v>
      </c>
      <c r="AB214" s="5">
        <f t="shared" si="35"/>
        <v>0</v>
      </c>
      <c r="AE214" s="1">
        <v>42676</v>
      </c>
      <c r="AF214">
        <v>216.935318</v>
      </c>
      <c r="AG214" s="5">
        <f t="shared" si="36"/>
        <v>-1.4641957995106942</v>
      </c>
      <c r="AJ214" s="1">
        <v>42676</v>
      </c>
      <c r="AK214">
        <v>55.172950999999998</v>
      </c>
      <c r="AL214" s="5">
        <f t="shared" si="37"/>
        <v>0.60231066972210001</v>
      </c>
      <c r="AO214" s="1">
        <v>42676</v>
      </c>
      <c r="AP214">
        <v>38.007525999999999</v>
      </c>
      <c r="AQ214" s="5">
        <f t="shared" si="38"/>
        <v>-0.89629116536312259</v>
      </c>
      <c r="AT214" s="1">
        <v>42676</v>
      </c>
      <c r="AU214">
        <v>161.70727500000001</v>
      </c>
      <c r="AV214" s="5">
        <f t="shared" si="39"/>
        <v>0.90106525329001086</v>
      </c>
    </row>
    <row r="215" spans="1:48" x14ac:dyDescent="0.2">
      <c r="A215" s="1">
        <v>42677</v>
      </c>
      <c r="B215">
        <v>11.380985000000001</v>
      </c>
      <c r="C215" s="5">
        <f t="shared" si="30"/>
        <v>2.530528119851962</v>
      </c>
      <c r="F215" s="1">
        <v>42677</v>
      </c>
      <c r="G215">
        <v>138.68012999999999</v>
      </c>
      <c r="H215" s="5">
        <f t="shared" si="31"/>
        <v>0.51397542670436414</v>
      </c>
      <c r="K215" s="1">
        <v>42677</v>
      </c>
      <c r="L215">
        <v>115.749138</v>
      </c>
      <c r="M215" s="5">
        <f t="shared" si="32"/>
        <v>-1.3995482166061013</v>
      </c>
      <c r="P215" s="1">
        <v>42677</v>
      </c>
      <c r="Q215">
        <v>107.16999800000001</v>
      </c>
      <c r="R215" s="5">
        <f t="shared" si="33"/>
        <v>1.2088006535914724</v>
      </c>
      <c r="U215" s="1">
        <v>42677</v>
      </c>
      <c r="V215">
        <v>6.7</v>
      </c>
      <c r="W215" s="5">
        <f t="shared" si="34"/>
        <v>-0.88757396449703574</v>
      </c>
      <c r="Z215" s="1">
        <v>42677</v>
      </c>
      <c r="AA215">
        <v>43.106082999999998</v>
      </c>
      <c r="AB215" s="5">
        <f t="shared" si="35"/>
        <v>1.807515673960272</v>
      </c>
      <c r="AE215" s="1">
        <v>42677</v>
      </c>
      <c r="AF215">
        <v>218.79162600000001</v>
      </c>
      <c r="AG215" s="5">
        <f t="shared" si="36"/>
        <v>0.85569653531473966</v>
      </c>
      <c r="AJ215" s="1">
        <v>42677</v>
      </c>
      <c r="AK215">
        <v>54.298575999999997</v>
      </c>
      <c r="AL215" s="5">
        <f t="shared" si="37"/>
        <v>-1.5847892566051083</v>
      </c>
      <c r="AO215" s="1">
        <v>42677</v>
      </c>
      <c r="AP215">
        <v>37.693249000000002</v>
      </c>
      <c r="AQ215" s="5">
        <f t="shared" si="38"/>
        <v>-0.82688097088981016</v>
      </c>
      <c r="AT215" s="1">
        <v>42677</v>
      </c>
      <c r="AU215">
        <v>162.780563</v>
      </c>
      <c r="AV215" s="5">
        <f t="shared" si="39"/>
        <v>0.66372276695652122</v>
      </c>
    </row>
    <row r="216" spans="1:48" x14ac:dyDescent="0.2">
      <c r="A216" s="1">
        <v>42678</v>
      </c>
      <c r="B216">
        <v>11.729679000000001</v>
      </c>
      <c r="C216" s="5">
        <f t="shared" si="30"/>
        <v>3.0638297124545901</v>
      </c>
      <c r="F216" s="1">
        <v>42678</v>
      </c>
      <c r="G216">
        <v>136.023392</v>
      </c>
      <c r="H216" s="5">
        <f t="shared" si="31"/>
        <v>-1.9157308260383015</v>
      </c>
      <c r="K216" s="1">
        <v>42678</v>
      </c>
      <c r="L216">
        <v>116.026268</v>
      </c>
      <c r="M216" s="5">
        <f t="shared" si="32"/>
        <v>0.23942294930956606</v>
      </c>
      <c r="P216" s="1">
        <v>42678</v>
      </c>
      <c r="Q216">
        <v>106.199997</v>
      </c>
      <c r="R216" s="5">
        <f t="shared" si="33"/>
        <v>-0.90510499029776081</v>
      </c>
      <c r="U216" s="1">
        <v>42678</v>
      </c>
      <c r="V216">
        <v>6.56</v>
      </c>
      <c r="W216" s="5">
        <f t="shared" si="34"/>
        <v>-2.0895522388059784</v>
      </c>
      <c r="Z216" s="1">
        <v>42678</v>
      </c>
      <c r="AA216">
        <v>41.446247</v>
      </c>
      <c r="AB216" s="5">
        <f t="shared" si="35"/>
        <v>-3.8505841507334324</v>
      </c>
      <c r="AE216" s="1">
        <v>42678</v>
      </c>
      <c r="AF216">
        <v>225.867447</v>
      </c>
      <c r="AG216" s="5">
        <f t="shared" si="36"/>
        <v>3.2340456211061706</v>
      </c>
      <c r="AJ216" s="1">
        <v>42678</v>
      </c>
      <c r="AK216">
        <v>54.444308999999997</v>
      </c>
      <c r="AL216" s="5">
        <f t="shared" si="37"/>
        <v>0.26839193720292021</v>
      </c>
      <c r="AO216" s="1">
        <v>42678</v>
      </c>
      <c r="AP216">
        <v>38.390549</v>
      </c>
      <c r="AQ216" s="5">
        <f t="shared" si="38"/>
        <v>1.8499333925817814</v>
      </c>
      <c r="AT216" s="1">
        <v>42678</v>
      </c>
      <c r="AU216">
        <v>162.43905599999999</v>
      </c>
      <c r="AV216" s="5">
        <f t="shared" si="39"/>
        <v>-0.2097959324541758</v>
      </c>
    </row>
    <row r="217" spans="1:48" x14ac:dyDescent="0.2">
      <c r="A217" s="1">
        <v>42681</v>
      </c>
      <c r="B217">
        <v>12.020258</v>
      </c>
      <c r="C217" s="5">
        <f t="shared" si="30"/>
        <v>2.4772971195545868</v>
      </c>
      <c r="F217" s="1">
        <v>42681</v>
      </c>
      <c r="G217">
        <v>137.37171900000001</v>
      </c>
      <c r="H217" s="5">
        <f t="shared" si="31"/>
        <v>0.99124641738092512</v>
      </c>
      <c r="K217" s="1">
        <v>42681</v>
      </c>
      <c r="L217">
        <v>118.738129</v>
      </c>
      <c r="M217" s="5">
        <f t="shared" si="32"/>
        <v>2.3372819334325214</v>
      </c>
      <c r="P217" s="1">
        <v>42681</v>
      </c>
      <c r="Q217">
        <v>108.660004</v>
      </c>
      <c r="R217" s="5">
        <f t="shared" si="33"/>
        <v>2.3163908375628339</v>
      </c>
      <c r="U217" s="1">
        <v>42681</v>
      </c>
      <c r="V217">
        <v>6.96</v>
      </c>
      <c r="W217" s="5">
        <f t="shared" si="34"/>
        <v>6.0975609756097624</v>
      </c>
      <c r="Z217" s="1">
        <v>42681</v>
      </c>
      <c r="AA217">
        <v>40.839958000000003</v>
      </c>
      <c r="AB217" s="5">
        <f t="shared" si="35"/>
        <v>-1.4628320870644735</v>
      </c>
      <c r="AE217" s="1">
        <v>42681</v>
      </c>
      <c r="AF217">
        <v>226.19676200000001</v>
      </c>
      <c r="AG217" s="5">
        <f t="shared" si="36"/>
        <v>0.14580011611855173</v>
      </c>
      <c r="AJ217" s="1">
        <v>42681</v>
      </c>
      <c r="AK217">
        <v>57.232585999999998</v>
      </c>
      <c r="AL217" s="5">
        <f t="shared" si="37"/>
        <v>5.1213378426751648</v>
      </c>
      <c r="AO217" s="1">
        <v>42681</v>
      </c>
      <c r="AP217">
        <v>39.146766999999997</v>
      </c>
      <c r="AQ217" s="5">
        <f t="shared" si="38"/>
        <v>1.9698025157181185</v>
      </c>
      <c r="AT217" s="1">
        <v>42681</v>
      </c>
      <c r="AU217">
        <v>165.61994899999999</v>
      </c>
      <c r="AV217" s="5">
        <f t="shared" si="39"/>
        <v>1.9582070213458993</v>
      </c>
    </row>
    <row r="218" spans="1:48" x14ac:dyDescent="0.2">
      <c r="A218" s="1">
        <v>42682</v>
      </c>
      <c r="B218">
        <v>12.039630000000001</v>
      </c>
      <c r="C218" s="5">
        <f t="shared" si="30"/>
        <v>0.16116126625568777</v>
      </c>
      <c r="F218" s="1">
        <v>42682</v>
      </c>
      <c r="G218">
        <v>137.50155599999999</v>
      </c>
      <c r="H218" s="5">
        <f t="shared" si="31"/>
        <v>9.451508719926599E-2</v>
      </c>
      <c r="K218" s="1">
        <v>42682</v>
      </c>
      <c r="L218">
        <v>118.579773</v>
      </c>
      <c r="M218" s="5">
        <f t="shared" si="32"/>
        <v>-0.13336575313562313</v>
      </c>
      <c r="P218" s="1">
        <v>42682</v>
      </c>
      <c r="Q218">
        <v>108.389999</v>
      </c>
      <c r="R218" s="5">
        <f t="shared" si="33"/>
        <v>-0.24848609429463817</v>
      </c>
      <c r="U218" s="1">
        <v>42682</v>
      </c>
      <c r="V218">
        <v>7</v>
      </c>
      <c r="W218" s="5">
        <f t="shared" si="34"/>
        <v>0.57471264367816144</v>
      </c>
      <c r="Z218" s="1">
        <v>42682</v>
      </c>
      <c r="AA218">
        <v>40.760444999999997</v>
      </c>
      <c r="AB218" s="5">
        <f t="shared" si="35"/>
        <v>-0.19469412774617867</v>
      </c>
      <c r="AE218" s="1">
        <v>42682</v>
      </c>
      <c r="AF218">
        <v>230.64785800000001</v>
      </c>
      <c r="AG218" s="5">
        <f t="shared" si="36"/>
        <v>1.9677982835138934</v>
      </c>
      <c r="AJ218" s="1">
        <v>42682</v>
      </c>
      <c r="AK218">
        <v>57.135432999999999</v>
      </c>
      <c r="AL218" s="5">
        <f t="shared" si="37"/>
        <v>-0.16975119733362865</v>
      </c>
      <c r="AO218" s="1">
        <v>42682</v>
      </c>
      <c r="AP218">
        <v>39.117305999999999</v>
      </c>
      <c r="AQ218" s="5">
        <f t="shared" si="38"/>
        <v>-7.5257811200597338E-2</v>
      </c>
      <c r="AT218" s="1">
        <v>42682</v>
      </c>
      <c r="AU218">
        <v>166.87861599999999</v>
      </c>
      <c r="AV218" s="5">
        <f t="shared" si="39"/>
        <v>0.75997306338984727</v>
      </c>
    </row>
    <row r="219" spans="1:48" x14ac:dyDescent="0.2">
      <c r="A219" s="1">
        <v>42683</v>
      </c>
      <c r="B219">
        <v>11.632820000000001</v>
      </c>
      <c r="C219" s="5">
        <f t="shared" si="30"/>
        <v>-3.3789244353854735</v>
      </c>
      <c r="F219" s="1">
        <v>42683</v>
      </c>
      <c r="G219">
        <v>140.15831</v>
      </c>
      <c r="H219" s="5">
        <f t="shared" si="31"/>
        <v>1.9321628622151785</v>
      </c>
      <c r="K219" s="1">
        <v>42683</v>
      </c>
      <c r="L219">
        <v>116.00646999999999</v>
      </c>
      <c r="M219" s="5">
        <f t="shared" si="32"/>
        <v>-2.1701028218362417</v>
      </c>
      <c r="P219" s="1">
        <v>42683</v>
      </c>
      <c r="Q219">
        <v>107.860001</v>
      </c>
      <c r="R219" s="5">
        <f t="shared" si="33"/>
        <v>-0.48897315701608801</v>
      </c>
      <c r="U219" s="1">
        <v>42683</v>
      </c>
      <c r="V219">
        <v>6.94</v>
      </c>
      <c r="W219" s="5">
        <f t="shared" si="34"/>
        <v>-0.85714285714285166</v>
      </c>
      <c r="Z219" s="1">
        <v>42683</v>
      </c>
      <c r="AA219">
        <v>39.905681999999999</v>
      </c>
      <c r="AB219" s="5">
        <f t="shared" si="35"/>
        <v>-2.0970404027728313</v>
      </c>
      <c r="AE219" s="1">
        <v>42683</v>
      </c>
      <c r="AF219">
        <v>241.16677899999999</v>
      </c>
      <c r="AG219" s="5">
        <f t="shared" si="36"/>
        <v>4.5605977403007047</v>
      </c>
      <c r="AJ219" s="1">
        <v>42683</v>
      </c>
      <c r="AK219">
        <v>60.856377000000002</v>
      </c>
      <c r="AL219" s="5">
        <f t="shared" si="37"/>
        <v>6.5124981200370051</v>
      </c>
      <c r="AO219" s="1">
        <v>42683</v>
      </c>
      <c r="AP219">
        <v>39.353008000000003</v>
      </c>
      <c r="AQ219" s="5">
        <f t="shared" si="38"/>
        <v>0.60255171969154375</v>
      </c>
      <c r="AT219" s="1">
        <v>42683</v>
      </c>
      <c r="AU219">
        <v>166.254166</v>
      </c>
      <c r="AV219" s="5">
        <f t="shared" si="39"/>
        <v>-0.37419413881044888</v>
      </c>
    </row>
    <row r="220" spans="1:48" x14ac:dyDescent="0.2">
      <c r="A220" s="1">
        <v>42684</v>
      </c>
      <c r="B220">
        <v>11.109779</v>
      </c>
      <c r="C220" s="5">
        <f t="shared" si="30"/>
        <v>-4.4962528432486781</v>
      </c>
      <c r="F220" s="1">
        <v>42684</v>
      </c>
      <c r="G220">
        <v>145.64158599999999</v>
      </c>
      <c r="H220" s="5">
        <f t="shared" si="31"/>
        <v>3.9122018523197015</v>
      </c>
      <c r="K220" s="1">
        <v>42684</v>
      </c>
      <c r="L220">
        <v>119.094437</v>
      </c>
      <c r="M220" s="5">
        <f t="shared" si="32"/>
        <v>2.6618920479176778</v>
      </c>
      <c r="P220" s="1">
        <v>42684</v>
      </c>
      <c r="Q220">
        <v>104.08000199999999</v>
      </c>
      <c r="R220" s="5">
        <f t="shared" si="33"/>
        <v>-3.5045419663958688</v>
      </c>
      <c r="U220" s="1">
        <v>42684</v>
      </c>
      <c r="V220">
        <v>6.3</v>
      </c>
      <c r="W220" s="5">
        <f t="shared" si="34"/>
        <v>-9.2219020172910735</v>
      </c>
      <c r="Z220" s="1">
        <v>42684</v>
      </c>
      <c r="AA220">
        <v>38.464503999999998</v>
      </c>
      <c r="AB220" s="5">
        <f t="shared" si="35"/>
        <v>-3.6114606436246364</v>
      </c>
      <c r="AE220" s="1">
        <v>42684</v>
      </c>
      <c r="AF220">
        <v>254.43022199999999</v>
      </c>
      <c r="AG220" s="5">
        <f t="shared" si="36"/>
        <v>5.4996973691803532</v>
      </c>
      <c r="AJ220" s="1">
        <v>42684</v>
      </c>
      <c r="AK220">
        <v>62.177653999999997</v>
      </c>
      <c r="AL220" s="5">
        <f t="shared" si="37"/>
        <v>2.171139764038196</v>
      </c>
      <c r="AO220" s="1">
        <v>42684</v>
      </c>
      <c r="AP220">
        <v>39.883347000000001</v>
      </c>
      <c r="AQ220" s="5">
        <f t="shared" si="38"/>
        <v>1.3476453947306846</v>
      </c>
      <c r="AT220" s="1">
        <v>42684</v>
      </c>
      <c r="AU220">
        <v>170.04972799999999</v>
      </c>
      <c r="AV220" s="5">
        <f t="shared" si="39"/>
        <v>2.2829876034504841</v>
      </c>
    </row>
    <row r="221" spans="1:48" x14ac:dyDescent="0.2">
      <c r="A221" s="1">
        <v>42685</v>
      </c>
      <c r="B221">
        <v>10.906374</v>
      </c>
      <c r="C221" s="5">
        <f t="shared" si="30"/>
        <v>-1.8308645023451868</v>
      </c>
      <c r="F221" s="1">
        <v>42685</v>
      </c>
      <c r="G221">
        <v>144.84257500000001</v>
      </c>
      <c r="H221" s="5">
        <f t="shared" si="31"/>
        <v>-0.54861459693248527</v>
      </c>
      <c r="K221" s="1">
        <v>42685</v>
      </c>
      <c r="L221">
        <v>117.956245</v>
      </c>
      <c r="M221" s="5">
        <f t="shared" si="32"/>
        <v>-0.9557054289613911</v>
      </c>
      <c r="P221" s="1">
        <v>42685</v>
      </c>
      <c r="Q221">
        <v>103.68</v>
      </c>
      <c r="R221" s="5">
        <f t="shared" si="33"/>
        <v>-0.38432166824899411</v>
      </c>
      <c r="U221" s="1">
        <v>42685</v>
      </c>
      <c r="V221">
        <v>6.69</v>
      </c>
      <c r="W221" s="5">
        <f t="shared" si="34"/>
        <v>6.1904761904761996</v>
      </c>
      <c r="Z221" s="1">
        <v>42685</v>
      </c>
      <c r="AA221">
        <v>39.170180999999999</v>
      </c>
      <c r="AB221" s="5">
        <f t="shared" si="35"/>
        <v>1.8346187435564008</v>
      </c>
      <c r="AE221" s="1">
        <v>42685</v>
      </c>
      <c r="AF221">
        <v>253.05297899999999</v>
      </c>
      <c r="AG221" s="5">
        <f t="shared" si="36"/>
        <v>-0.54130479829553935</v>
      </c>
      <c r="AJ221" s="1">
        <v>42685</v>
      </c>
      <c r="AK221">
        <v>61.303280000000001</v>
      </c>
      <c r="AL221" s="5">
        <f t="shared" si="37"/>
        <v>-1.4062511911433584</v>
      </c>
      <c r="AO221" s="1">
        <v>42685</v>
      </c>
      <c r="AP221">
        <v>39.421760999999996</v>
      </c>
      <c r="AQ221" s="5">
        <f t="shared" si="38"/>
        <v>-1.1573401801007424</v>
      </c>
      <c r="AT221" s="1">
        <v>42685</v>
      </c>
      <c r="AU221">
        <v>170.830322</v>
      </c>
      <c r="AV221" s="5">
        <f t="shared" si="39"/>
        <v>0.45903866426649492</v>
      </c>
    </row>
    <row r="222" spans="1:48" x14ac:dyDescent="0.2">
      <c r="A222" s="1">
        <v>42688</v>
      </c>
      <c r="B222">
        <v>10.867630999999999</v>
      </c>
      <c r="C222" s="5">
        <f t="shared" si="30"/>
        <v>-0.35523263735500171</v>
      </c>
      <c r="F222" s="1">
        <v>42688</v>
      </c>
      <c r="G222">
        <v>142.725143</v>
      </c>
      <c r="H222" s="5">
        <f t="shared" si="31"/>
        <v>-1.4618850845478326</v>
      </c>
      <c r="K222" s="1">
        <v>42688</v>
      </c>
      <c r="L222">
        <v>116.046059</v>
      </c>
      <c r="M222" s="5">
        <f t="shared" si="32"/>
        <v>-1.6194021774769078</v>
      </c>
      <c r="P222" s="1">
        <v>42688</v>
      </c>
      <c r="Q222">
        <v>102.41999800000001</v>
      </c>
      <c r="R222" s="5">
        <f t="shared" si="33"/>
        <v>-1.2152797067901235</v>
      </c>
      <c r="U222" s="1">
        <v>42688</v>
      </c>
      <c r="V222">
        <v>6.79</v>
      </c>
      <c r="W222" s="5">
        <f t="shared" si="34"/>
        <v>1.4947683109118033</v>
      </c>
      <c r="Z222" s="1">
        <v>42688</v>
      </c>
      <c r="AA222">
        <v>37.540160999999998</v>
      </c>
      <c r="AB222" s="5">
        <f t="shared" si="35"/>
        <v>-4.1613798006192564</v>
      </c>
      <c r="AE222" s="1">
        <v>42688</v>
      </c>
      <c r="AF222">
        <v>255.66772499999999</v>
      </c>
      <c r="AG222" s="5">
        <f t="shared" si="36"/>
        <v>1.0332800705736789</v>
      </c>
      <c r="AJ222" s="1">
        <v>42688</v>
      </c>
      <c r="AK222">
        <v>61.176983</v>
      </c>
      <c r="AL222" s="5">
        <f t="shared" si="37"/>
        <v>-0.2060199715251794</v>
      </c>
      <c r="AO222" s="1">
        <v>42688</v>
      </c>
      <c r="AP222">
        <v>38.498576999999997</v>
      </c>
      <c r="AQ222" s="5">
        <f t="shared" si="38"/>
        <v>-2.3418131929722756</v>
      </c>
      <c r="AT222" s="1">
        <v>42688</v>
      </c>
      <c r="AU222">
        <v>168.712997</v>
      </c>
      <c r="AV222" s="5">
        <f t="shared" si="39"/>
        <v>-1.2394316039514308</v>
      </c>
    </row>
    <row r="223" spans="1:48" x14ac:dyDescent="0.2">
      <c r="A223" s="1">
        <v>42689</v>
      </c>
      <c r="B223">
        <v>11.177581</v>
      </c>
      <c r="C223" s="5">
        <f t="shared" si="30"/>
        <v>2.8520475161514103</v>
      </c>
      <c r="F223" s="1">
        <v>42689</v>
      </c>
      <c r="G223">
        <v>164.128952</v>
      </c>
      <c r="H223" s="5">
        <f t="shared" si="31"/>
        <v>14.996523072322299</v>
      </c>
      <c r="K223" s="1">
        <v>42689</v>
      </c>
      <c r="L223">
        <v>114.798996</v>
      </c>
      <c r="M223" s="5">
        <f t="shared" si="32"/>
        <v>-1.0746276183321291</v>
      </c>
      <c r="P223" s="1">
        <v>42689</v>
      </c>
      <c r="Q223">
        <v>103.660004</v>
      </c>
      <c r="R223" s="5">
        <f t="shared" si="33"/>
        <v>1.2107069168269207</v>
      </c>
      <c r="U223" s="1">
        <v>42689</v>
      </c>
      <c r="V223">
        <v>6.97</v>
      </c>
      <c r="W223" s="5">
        <f t="shared" si="34"/>
        <v>2.6509572901325438</v>
      </c>
      <c r="Z223" s="1">
        <v>42689</v>
      </c>
      <c r="AA223">
        <v>38.295535999999998</v>
      </c>
      <c r="AB223" s="5">
        <f t="shared" si="35"/>
        <v>2.0121783707853593</v>
      </c>
      <c r="AE223" s="1">
        <v>42689</v>
      </c>
      <c r="AF223">
        <v>258.13278200000002</v>
      </c>
      <c r="AG223" s="5">
        <f t="shared" si="36"/>
        <v>0.96416432695993604</v>
      </c>
      <c r="AJ223" s="1">
        <v>42689</v>
      </c>
      <c r="AK223">
        <v>61.079825999999997</v>
      </c>
      <c r="AL223" s="5">
        <f t="shared" si="37"/>
        <v>-0.15881299671152926</v>
      </c>
      <c r="AO223" s="1">
        <v>42689</v>
      </c>
      <c r="AP223">
        <v>39.097664000000002</v>
      </c>
      <c r="AQ223" s="5">
        <f t="shared" si="38"/>
        <v>1.5561276459646922</v>
      </c>
      <c r="AT223" s="1">
        <v>42689</v>
      </c>
      <c r="AU223">
        <v>170.010727</v>
      </c>
      <c r="AV223" s="5">
        <f t="shared" si="39"/>
        <v>0.76919385173390131</v>
      </c>
    </row>
    <row r="224" spans="1:48" x14ac:dyDescent="0.2">
      <c r="A224" s="1">
        <v>42690</v>
      </c>
      <c r="B224">
        <v>10.993548000000001</v>
      </c>
      <c r="C224" s="5">
        <f t="shared" si="30"/>
        <v>-1.6464474737423012</v>
      </c>
      <c r="F224" s="1">
        <v>42690</v>
      </c>
      <c r="G224">
        <v>162.78059400000001</v>
      </c>
      <c r="H224" s="5">
        <f t="shared" si="31"/>
        <v>-0.82152355423556855</v>
      </c>
      <c r="K224" s="1">
        <v>42690</v>
      </c>
      <c r="L224">
        <v>116.115341</v>
      </c>
      <c r="M224" s="5">
        <f t="shared" si="32"/>
        <v>1.1466520142737122</v>
      </c>
      <c r="P224" s="1">
        <v>42690</v>
      </c>
      <c r="Q224">
        <v>104.08000199999999</v>
      </c>
      <c r="R224" s="5">
        <f t="shared" si="33"/>
        <v>0.40516880551151868</v>
      </c>
      <c r="U224" s="1">
        <v>42690</v>
      </c>
      <c r="V224">
        <v>7.67</v>
      </c>
      <c r="W224" s="5">
        <f t="shared" si="34"/>
        <v>10.043041606886661</v>
      </c>
      <c r="Z224" s="1">
        <v>42690</v>
      </c>
      <c r="AA224">
        <v>38.732861</v>
      </c>
      <c r="AB224" s="5">
        <f t="shared" si="35"/>
        <v>1.1419738321458701</v>
      </c>
      <c r="AE224" s="1">
        <v>42690</v>
      </c>
      <c r="AF224">
        <v>256.01705900000002</v>
      </c>
      <c r="AG224" s="5">
        <f t="shared" si="36"/>
        <v>-0.81962584666987492</v>
      </c>
      <c r="AJ224" s="1">
        <v>42690</v>
      </c>
      <c r="AK224">
        <v>59.787700999999998</v>
      </c>
      <c r="AL224" s="5">
        <f t="shared" si="37"/>
        <v>-2.1154693531707158</v>
      </c>
      <c r="AO224" s="1">
        <v>42690</v>
      </c>
      <c r="AP224">
        <v>39.235157000000001</v>
      </c>
      <c r="AQ224" s="5">
        <f t="shared" si="38"/>
        <v>0.35166551126941803</v>
      </c>
      <c r="AT224" s="1">
        <v>42690</v>
      </c>
      <c r="AU224">
        <v>168.910889</v>
      </c>
      <c r="AV224" s="5">
        <f t="shared" si="39"/>
        <v>-0.64692270858885592</v>
      </c>
    </row>
    <row r="225" spans="1:48" x14ac:dyDescent="0.2">
      <c r="A225" s="1">
        <v>42691</v>
      </c>
      <c r="B225">
        <v>11.071035999999999</v>
      </c>
      <c r="C225" s="5">
        <f t="shared" si="30"/>
        <v>0.70484979007686044</v>
      </c>
      <c r="F225" s="1">
        <v>42691</v>
      </c>
      <c r="G225">
        <v>166.11653100000001</v>
      </c>
      <c r="H225" s="5">
        <f t="shared" si="31"/>
        <v>2.0493456363723559</v>
      </c>
      <c r="K225" s="1">
        <v>42691</v>
      </c>
      <c r="L225">
        <v>117.15456399999999</v>
      </c>
      <c r="M225" s="5">
        <f t="shared" si="32"/>
        <v>0.89499198904302635</v>
      </c>
      <c r="P225" s="1">
        <v>42691</v>
      </c>
      <c r="Q225">
        <v>105.80999799999999</v>
      </c>
      <c r="R225" s="5">
        <f t="shared" si="33"/>
        <v>1.662179061064968</v>
      </c>
      <c r="U225" s="1">
        <v>42691</v>
      </c>
      <c r="V225">
        <v>8.4600000000000009</v>
      </c>
      <c r="W225" s="5">
        <f t="shared" si="34"/>
        <v>10.299869621903532</v>
      </c>
      <c r="Z225" s="1">
        <v>42691</v>
      </c>
      <c r="AA225">
        <v>39.696956999999998</v>
      </c>
      <c r="AB225" s="5">
        <f t="shared" si="35"/>
        <v>2.4890905941598218</v>
      </c>
      <c r="AE225" s="1">
        <v>42691</v>
      </c>
      <c r="AF225">
        <v>251.226608</v>
      </c>
      <c r="AG225" s="5">
        <f t="shared" si="36"/>
        <v>-1.8711452348962492</v>
      </c>
      <c r="AJ225" s="1">
        <v>42691</v>
      </c>
      <c r="AK225">
        <v>59.943145999999999</v>
      </c>
      <c r="AL225" s="5">
        <f t="shared" si="37"/>
        <v>0.25999494444517995</v>
      </c>
      <c r="AO225" s="1">
        <v>42691</v>
      </c>
      <c r="AP225">
        <v>39.667282</v>
      </c>
      <c r="AQ225" s="5">
        <f t="shared" si="38"/>
        <v>1.1013719149894039</v>
      </c>
      <c r="AT225" s="1">
        <v>42691</v>
      </c>
      <c r="AU225">
        <v>169.657196</v>
      </c>
      <c r="AV225" s="5">
        <f t="shared" si="39"/>
        <v>0.44183474755141544</v>
      </c>
    </row>
    <row r="226" spans="1:48" x14ac:dyDescent="0.2">
      <c r="A226" s="1">
        <v>42692</v>
      </c>
      <c r="B226">
        <v>11.041976999999999</v>
      </c>
      <c r="C226" s="5">
        <f t="shared" si="30"/>
        <v>-0.26247769404778531</v>
      </c>
      <c r="F226" s="1">
        <v>42692</v>
      </c>
      <c r="G226">
        <v>162.37110899999999</v>
      </c>
      <c r="H226" s="5">
        <f t="shared" si="31"/>
        <v>-2.2546955305730645</v>
      </c>
      <c r="K226" s="1">
        <v>42692</v>
      </c>
      <c r="L226">
        <v>117.213943</v>
      </c>
      <c r="M226" s="5">
        <f t="shared" si="32"/>
        <v>5.0684325025533751E-2</v>
      </c>
      <c r="P226" s="1">
        <v>42692</v>
      </c>
      <c r="Q226">
        <v>105.019997</v>
      </c>
      <c r="R226" s="5">
        <f t="shared" si="33"/>
        <v>-0.74662226153712774</v>
      </c>
      <c r="U226" s="1">
        <v>42692</v>
      </c>
      <c r="V226">
        <v>8.7100000000000009</v>
      </c>
      <c r="W226" s="5">
        <f t="shared" si="34"/>
        <v>2.9550827423167845</v>
      </c>
      <c r="Z226" s="1">
        <v>42692</v>
      </c>
      <c r="AA226">
        <v>38.156387000000002</v>
      </c>
      <c r="AB226" s="5">
        <f t="shared" si="35"/>
        <v>-3.880826432111649</v>
      </c>
      <c r="AE226" s="1">
        <v>42692</v>
      </c>
      <c r="AF226">
        <v>248.46217300000001</v>
      </c>
      <c r="AG226" s="5">
        <f t="shared" si="36"/>
        <v>-1.1003750844735329</v>
      </c>
      <c r="AJ226" s="1">
        <v>42692</v>
      </c>
      <c r="AK226">
        <v>58.796740999999997</v>
      </c>
      <c r="AL226" s="5">
        <f t="shared" si="37"/>
        <v>-1.9124872091298002</v>
      </c>
      <c r="AO226" s="1">
        <v>42692</v>
      </c>
      <c r="AP226">
        <v>39.127128999999996</v>
      </c>
      <c r="AQ226" s="5">
        <f t="shared" si="38"/>
        <v>-1.3617091284449578</v>
      </c>
      <c r="AT226" s="1">
        <v>42692</v>
      </c>
      <c r="AU226">
        <v>169.84378100000001</v>
      </c>
      <c r="AV226" s="5">
        <f t="shared" si="39"/>
        <v>0.10997765164055169</v>
      </c>
    </row>
    <row r="227" spans="1:48" x14ac:dyDescent="0.2">
      <c r="A227" s="1">
        <v>42695</v>
      </c>
      <c r="B227">
        <v>11.187265999999999</v>
      </c>
      <c r="C227" s="5">
        <f t="shared" si="30"/>
        <v>1.3157879245718409</v>
      </c>
      <c r="F227" s="1">
        <v>42695</v>
      </c>
      <c r="G227">
        <v>166.695786</v>
      </c>
      <c r="H227" s="5">
        <f t="shared" si="31"/>
        <v>2.6634522770919844</v>
      </c>
      <c r="K227" s="1">
        <v>42695</v>
      </c>
      <c r="L227">
        <v>118.451111</v>
      </c>
      <c r="M227" s="5">
        <f t="shared" si="32"/>
        <v>1.0554785278403245</v>
      </c>
      <c r="P227" s="1">
        <v>42695</v>
      </c>
      <c r="Q227">
        <v>105.650002</v>
      </c>
      <c r="R227" s="5">
        <f t="shared" si="33"/>
        <v>0.59989051418464334</v>
      </c>
      <c r="U227" s="1">
        <v>42695</v>
      </c>
      <c r="V227">
        <v>8.94</v>
      </c>
      <c r="W227" s="5">
        <f t="shared" si="34"/>
        <v>2.6406429391503861</v>
      </c>
      <c r="Z227" s="1">
        <v>42695</v>
      </c>
      <c r="AA227">
        <v>38.196143999999997</v>
      </c>
      <c r="AB227" s="5">
        <f t="shared" si="35"/>
        <v>0.10419487568357688</v>
      </c>
      <c r="AE227" s="1">
        <v>42695</v>
      </c>
      <c r="AF227">
        <v>251.046997</v>
      </c>
      <c r="AG227" s="5">
        <f t="shared" si="36"/>
        <v>1.0403289840019219</v>
      </c>
      <c r="AJ227" s="1">
        <v>42695</v>
      </c>
      <c r="AK227">
        <v>58.699589000000003</v>
      </c>
      <c r="AL227" s="5">
        <f t="shared" si="37"/>
        <v>-0.16523364789894415</v>
      </c>
      <c r="AO227" s="1">
        <v>42695</v>
      </c>
      <c r="AP227">
        <v>39.048552999999998</v>
      </c>
      <c r="AQ227" s="5">
        <f t="shared" si="38"/>
        <v>-0.20082229902428622</v>
      </c>
      <c r="AT227" s="1">
        <v>42695</v>
      </c>
      <c r="AU227">
        <v>168.42971800000001</v>
      </c>
      <c r="AV227" s="5">
        <f t="shared" si="39"/>
        <v>-0.83256683975964862</v>
      </c>
    </row>
    <row r="228" spans="1:48" x14ac:dyDescent="0.2">
      <c r="A228" s="1">
        <v>42696</v>
      </c>
      <c r="B228">
        <v>11.051663</v>
      </c>
      <c r="C228" s="5">
        <f t="shared" si="30"/>
        <v>-1.2121192076777265</v>
      </c>
      <c r="F228" s="1">
        <v>42696</v>
      </c>
      <c r="G228">
        <v>170.08163500000001</v>
      </c>
      <c r="H228" s="5">
        <f t="shared" si="31"/>
        <v>2.0311545248060487</v>
      </c>
      <c r="K228" s="1">
        <v>42696</v>
      </c>
      <c r="L228">
        <v>118.25316599999999</v>
      </c>
      <c r="M228" s="5">
        <f t="shared" si="32"/>
        <v>-0.16711113836661629</v>
      </c>
      <c r="P228" s="1">
        <v>42696</v>
      </c>
      <c r="Q228">
        <v>105.209999</v>
      </c>
      <c r="R228" s="5">
        <f t="shared" si="33"/>
        <v>-0.41647230636115307</v>
      </c>
      <c r="U228" s="1">
        <v>42696</v>
      </c>
      <c r="V228">
        <v>8.69</v>
      </c>
      <c r="W228" s="5">
        <f t="shared" si="34"/>
        <v>-2.796420581655481</v>
      </c>
      <c r="Z228" s="1">
        <v>42696</v>
      </c>
      <c r="AA228">
        <v>36.943809999999999</v>
      </c>
      <c r="AB228" s="5">
        <f t="shared" si="35"/>
        <v>-3.2786922156330696</v>
      </c>
      <c r="AE228" s="1">
        <v>42696</v>
      </c>
      <c r="AF228">
        <v>253.12283300000001</v>
      </c>
      <c r="AG228" s="5">
        <f t="shared" si="36"/>
        <v>0.82687147219690083</v>
      </c>
      <c r="AJ228" s="1">
        <v>42696</v>
      </c>
      <c r="AK228">
        <v>57.252014000000003</v>
      </c>
      <c r="AL228" s="5">
        <f t="shared" si="37"/>
        <v>-2.4660734847734633</v>
      </c>
      <c r="AO228" s="1">
        <v>42696</v>
      </c>
      <c r="AP228">
        <v>37.418258999999999</v>
      </c>
      <c r="AQ228" s="5">
        <f t="shared" si="38"/>
        <v>-4.175043310823833</v>
      </c>
      <c r="AT228" s="1">
        <v>42696</v>
      </c>
      <c r="AU228">
        <v>168.81268299999999</v>
      </c>
      <c r="AV228" s="5">
        <f t="shared" si="39"/>
        <v>0.22737377022740393</v>
      </c>
    </row>
    <row r="229" spans="1:48" x14ac:dyDescent="0.2">
      <c r="A229" s="1">
        <v>42697</v>
      </c>
      <c r="B229">
        <v>10.983862</v>
      </c>
      <c r="C229" s="5">
        <f t="shared" si="30"/>
        <v>-0.61349138134233139</v>
      </c>
      <c r="F229" s="1">
        <v>42697</v>
      </c>
      <c r="G229">
        <v>170.83071899999999</v>
      </c>
      <c r="H229" s="5">
        <f t="shared" si="31"/>
        <v>0.44042615182996214</v>
      </c>
      <c r="K229" s="1">
        <v>42697</v>
      </c>
      <c r="L229">
        <v>118.589668</v>
      </c>
      <c r="M229" s="5">
        <f t="shared" si="32"/>
        <v>0.28456066876045422</v>
      </c>
      <c r="P229" s="1">
        <v>42697</v>
      </c>
      <c r="Q229">
        <v>104.209999</v>
      </c>
      <c r="R229" s="5">
        <f t="shared" si="33"/>
        <v>-0.95048000143028233</v>
      </c>
      <c r="U229" s="1">
        <v>42697</v>
      </c>
      <c r="V229">
        <v>8.8000000000000007</v>
      </c>
      <c r="W229" s="5">
        <f t="shared" si="34"/>
        <v>1.2658227848101407</v>
      </c>
      <c r="Z229" s="1">
        <v>42697</v>
      </c>
      <c r="AA229">
        <v>37.033264000000003</v>
      </c>
      <c r="AB229" s="5">
        <f t="shared" si="35"/>
        <v>0.24213528599243955</v>
      </c>
      <c r="AE229" s="1">
        <v>42697</v>
      </c>
      <c r="AF229">
        <v>254.270523</v>
      </c>
      <c r="AG229" s="5">
        <f t="shared" si="36"/>
        <v>0.45341227671862494</v>
      </c>
      <c r="AJ229" s="1">
        <v>42697</v>
      </c>
      <c r="AK229">
        <v>58.466427000000003</v>
      </c>
      <c r="AL229" s="5">
        <f t="shared" si="37"/>
        <v>2.1211707940964319</v>
      </c>
      <c r="AO229" s="1">
        <v>42697</v>
      </c>
      <c r="AP229">
        <v>38.282513000000002</v>
      </c>
      <c r="AQ229" s="5">
        <f t="shared" si="38"/>
        <v>2.3097119510557733</v>
      </c>
      <c r="AT229" s="1">
        <v>42697</v>
      </c>
      <c r="AU229">
        <v>169.14656099999999</v>
      </c>
      <c r="AV229" s="5">
        <f t="shared" si="39"/>
        <v>0.19778016323572004</v>
      </c>
    </row>
    <row r="230" spans="1:48" x14ac:dyDescent="0.2">
      <c r="A230" s="1">
        <v>42699</v>
      </c>
      <c r="B230">
        <v>11.264754</v>
      </c>
      <c r="C230" s="5">
        <f t="shared" si="30"/>
        <v>2.5573154506129057</v>
      </c>
      <c r="F230" s="1">
        <v>42699</v>
      </c>
      <c r="G230">
        <v>170.65093999999999</v>
      </c>
      <c r="H230" s="5">
        <f t="shared" si="31"/>
        <v>-0.10523809830712963</v>
      </c>
      <c r="K230" s="1">
        <v>42699</v>
      </c>
      <c r="L230">
        <v>119.500221</v>
      </c>
      <c r="M230" s="5">
        <f t="shared" si="32"/>
        <v>0.76781815427630096</v>
      </c>
      <c r="P230" s="1">
        <v>42699</v>
      </c>
      <c r="Q230">
        <v>105.019997</v>
      </c>
      <c r="R230" s="5">
        <f t="shared" si="33"/>
        <v>0.777274741169518</v>
      </c>
      <c r="U230" s="1">
        <v>42699</v>
      </c>
      <c r="V230">
        <v>8.77</v>
      </c>
      <c r="W230" s="5">
        <f t="shared" si="34"/>
        <v>-0.34090909090910382</v>
      </c>
      <c r="Z230" s="1">
        <v>42699</v>
      </c>
      <c r="AA230">
        <v>36.993510999999998</v>
      </c>
      <c r="AB230" s="5">
        <f t="shared" si="35"/>
        <v>-0.10734403535158173</v>
      </c>
      <c r="AE230" s="1">
        <v>42699</v>
      </c>
      <c r="AF230">
        <v>257.01504499999999</v>
      </c>
      <c r="AG230" s="5">
        <f t="shared" si="36"/>
        <v>1.0793708872026779</v>
      </c>
      <c r="AJ230" s="1">
        <v>42699</v>
      </c>
      <c r="AK230">
        <v>58.787025</v>
      </c>
      <c r="AL230" s="5">
        <f t="shared" si="37"/>
        <v>0.54834546328612965</v>
      </c>
      <c r="AO230" s="1">
        <v>42699</v>
      </c>
      <c r="AP230">
        <v>38.459293000000002</v>
      </c>
      <c r="AQ230" s="5">
        <f t="shared" si="38"/>
        <v>0.46177741779908971</v>
      </c>
      <c r="AT230" s="1">
        <v>42699</v>
      </c>
      <c r="AU230">
        <v>170.364227</v>
      </c>
      <c r="AV230" s="5">
        <f t="shared" si="39"/>
        <v>0.719888121166122</v>
      </c>
    </row>
    <row r="231" spans="1:48" x14ac:dyDescent="0.2">
      <c r="A231" s="1">
        <v>42702</v>
      </c>
      <c r="B231">
        <v>11.565018999999999</v>
      </c>
      <c r="C231" s="5">
        <f t="shared" si="30"/>
        <v>2.6655264731036254</v>
      </c>
      <c r="F231" s="1">
        <v>42702</v>
      </c>
      <c r="G231">
        <v>170.56106600000001</v>
      </c>
      <c r="H231" s="5">
        <f t="shared" si="31"/>
        <v>-5.2665399909300512E-2</v>
      </c>
      <c r="K231" s="1">
        <v>42702</v>
      </c>
      <c r="L231">
        <v>119.52002</v>
      </c>
      <c r="M231" s="5">
        <f t="shared" si="32"/>
        <v>1.6568170196108775E-2</v>
      </c>
      <c r="P231" s="1">
        <v>42702</v>
      </c>
      <c r="Q231">
        <v>104.5</v>
      </c>
      <c r="R231" s="5">
        <f t="shared" si="33"/>
        <v>-0.49514093968218603</v>
      </c>
      <c r="U231" s="1">
        <v>42702</v>
      </c>
      <c r="V231">
        <v>8.83</v>
      </c>
      <c r="W231" s="5">
        <f t="shared" si="34"/>
        <v>0.68415051311289055</v>
      </c>
      <c r="Z231" s="1">
        <v>42702</v>
      </c>
      <c r="AA231">
        <v>37.142592999999998</v>
      </c>
      <c r="AB231" s="5">
        <f t="shared" si="35"/>
        <v>0.40299500093408258</v>
      </c>
      <c r="AE231" s="1">
        <v>42702</v>
      </c>
      <c r="AF231">
        <v>250.27853400000001</v>
      </c>
      <c r="AG231" s="5">
        <f t="shared" si="36"/>
        <v>-2.6210570669121642</v>
      </c>
      <c r="AJ231" s="1">
        <v>42702</v>
      </c>
      <c r="AK231">
        <v>57.766922000000001</v>
      </c>
      <c r="AL231" s="5">
        <f t="shared" si="37"/>
        <v>-1.73525195398134</v>
      </c>
      <c r="AO231" s="1">
        <v>42702</v>
      </c>
      <c r="AP231">
        <v>38.046805999999997</v>
      </c>
      <c r="AQ231" s="5">
        <f t="shared" si="38"/>
        <v>-1.0725288163773727</v>
      </c>
      <c r="AT231" s="1">
        <v>42702</v>
      </c>
      <c r="AU231">
        <v>169.39205899999999</v>
      </c>
      <c r="AV231" s="5">
        <f t="shared" si="39"/>
        <v>-0.57064092451756943</v>
      </c>
    </row>
    <row r="232" spans="1:48" x14ac:dyDescent="0.2">
      <c r="A232" s="1">
        <v>42703</v>
      </c>
      <c r="B232">
        <v>11.506904</v>
      </c>
      <c r="C232" s="5">
        <f t="shared" si="30"/>
        <v>-0.50250674036937626</v>
      </c>
      <c r="F232" s="1">
        <v>42703</v>
      </c>
      <c r="G232">
        <v>169.59225499999999</v>
      </c>
      <c r="H232" s="5">
        <f t="shared" si="31"/>
        <v>-0.56801415629051966</v>
      </c>
      <c r="K232" s="1">
        <v>42703</v>
      </c>
      <c r="L232">
        <v>119.69817399999999</v>
      </c>
      <c r="M232" s="5">
        <f t="shared" si="32"/>
        <v>0.14905787331694903</v>
      </c>
      <c r="P232" s="1">
        <v>42703</v>
      </c>
      <c r="Q232">
        <v>104.949997</v>
      </c>
      <c r="R232" s="5">
        <f t="shared" si="33"/>
        <v>0.43061913875597724</v>
      </c>
      <c r="U232" s="1">
        <v>42703</v>
      </c>
      <c r="V232">
        <v>8.93</v>
      </c>
      <c r="W232" s="5">
        <f t="shared" si="34"/>
        <v>1.1325028312570742</v>
      </c>
      <c r="Z232" s="1">
        <v>42703</v>
      </c>
      <c r="AA232">
        <v>37.719067000000003</v>
      </c>
      <c r="AB232" s="5">
        <f t="shared" si="35"/>
        <v>1.5520564221243376</v>
      </c>
      <c r="AE232" s="1">
        <v>42703</v>
      </c>
      <c r="AF232">
        <v>251.655777</v>
      </c>
      <c r="AG232" s="5">
        <f t="shared" si="36"/>
        <v>0.55028410866430633</v>
      </c>
      <c r="AJ232" s="1">
        <v>42703</v>
      </c>
      <c r="AK232">
        <v>59.836277000000003</v>
      </c>
      <c r="AL232" s="5">
        <f t="shared" si="37"/>
        <v>3.5822490247965808</v>
      </c>
      <c r="AO232" s="1">
        <v>42703</v>
      </c>
      <c r="AP232">
        <v>38.036982999999999</v>
      </c>
      <c r="AQ232" s="5">
        <f t="shared" si="38"/>
        <v>-2.5818198773366816E-2</v>
      </c>
      <c r="AT232" s="1">
        <v>42703</v>
      </c>
      <c r="AU232">
        <v>169.657196</v>
      </c>
      <c r="AV232" s="5">
        <f t="shared" si="39"/>
        <v>0.15652268563546415</v>
      </c>
    </row>
    <row r="233" spans="1:48" x14ac:dyDescent="0.2">
      <c r="A233" s="1">
        <v>42704</v>
      </c>
      <c r="B233">
        <v>11.090406</v>
      </c>
      <c r="C233" s="5">
        <f t="shared" si="30"/>
        <v>-3.6195487509064184</v>
      </c>
      <c r="F233" s="1">
        <v>42704</v>
      </c>
      <c r="G233">
        <v>169.51234400000001</v>
      </c>
      <c r="H233" s="5">
        <f t="shared" si="31"/>
        <v>-4.7119486677019193E-2</v>
      </c>
      <c r="K233" s="1">
        <v>42704</v>
      </c>
      <c r="L233">
        <v>118.20367400000001</v>
      </c>
      <c r="M233" s="5">
        <f t="shared" si="32"/>
        <v>-1.2485570581886973</v>
      </c>
      <c r="P233" s="1">
        <v>42704</v>
      </c>
      <c r="Q233">
        <v>102.80999799999999</v>
      </c>
      <c r="R233" s="5">
        <f t="shared" si="33"/>
        <v>-2.0390653274625659</v>
      </c>
      <c r="U233" s="1">
        <v>42704</v>
      </c>
      <c r="V233">
        <v>8.91</v>
      </c>
      <c r="W233" s="5">
        <f t="shared" si="34"/>
        <v>-0.22396416573347788</v>
      </c>
      <c r="Z233" s="1">
        <v>42704</v>
      </c>
      <c r="AA233">
        <v>36.387222000000001</v>
      </c>
      <c r="AB233" s="5">
        <f t="shared" si="35"/>
        <v>-3.5309595542222754</v>
      </c>
      <c r="AE233" s="1">
        <v>42704</v>
      </c>
      <c r="AF233">
        <v>250.90728799999999</v>
      </c>
      <c r="AG233" s="5">
        <f t="shared" si="36"/>
        <v>-0.29742571735200279</v>
      </c>
      <c r="AJ233" s="1">
        <v>42704</v>
      </c>
      <c r="AK233">
        <v>59.068767999999999</v>
      </c>
      <c r="AL233" s="5">
        <f t="shared" si="37"/>
        <v>-1.2826817417133154</v>
      </c>
      <c r="AO233" s="1">
        <v>42704</v>
      </c>
      <c r="AP233">
        <v>37.388798000000001</v>
      </c>
      <c r="AQ233" s="5">
        <f t="shared" si="38"/>
        <v>-1.7040915153549323</v>
      </c>
      <c r="AT233" s="1">
        <v>42704</v>
      </c>
      <c r="AU233">
        <v>168.64575199999999</v>
      </c>
      <c r="AV233" s="5">
        <f t="shared" si="39"/>
        <v>-0.59616923057010296</v>
      </c>
    </row>
    <row r="234" spans="1:48" x14ac:dyDescent="0.2">
      <c r="A234" s="1">
        <v>42705</v>
      </c>
      <c r="B234">
        <v>10.683598</v>
      </c>
      <c r="C234" s="5">
        <f t="shared" si="30"/>
        <v>-3.668107371362237</v>
      </c>
      <c r="F234" s="1">
        <v>42705</v>
      </c>
      <c r="G234">
        <v>170.55107100000001</v>
      </c>
      <c r="H234" s="5">
        <f t="shared" si="31"/>
        <v>0.61277366325604843</v>
      </c>
      <c r="K234" s="1">
        <v>42705</v>
      </c>
      <c r="L234">
        <v>116.451851</v>
      </c>
      <c r="M234" s="5">
        <f t="shared" si="32"/>
        <v>-1.4820376903005583</v>
      </c>
      <c r="P234" s="1">
        <v>42705</v>
      </c>
      <c r="Q234">
        <v>99.510002</v>
      </c>
      <c r="R234" s="5">
        <f t="shared" si="33"/>
        <v>-3.2098006654955809</v>
      </c>
      <c r="U234" s="1">
        <v>42705</v>
      </c>
      <c r="V234">
        <v>8.39</v>
      </c>
      <c r="W234" s="5">
        <f t="shared" si="34"/>
        <v>-5.8361391694724976</v>
      </c>
      <c r="Z234" s="1">
        <v>42705</v>
      </c>
      <c r="AA234">
        <v>35.363491000000003</v>
      </c>
      <c r="AB234" s="5">
        <f t="shared" si="35"/>
        <v>-2.8134354417053271</v>
      </c>
      <c r="AE234" s="1">
        <v>42705</v>
      </c>
      <c r="AF234">
        <v>250.95718400000001</v>
      </c>
      <c r="AG234" s="5">
        <f t="shared" si="36"/>
        <v>1.9886229849177657E-2</v>
      </c>
      <c r="AJ234" s="1">
        <v>42705</v>
      </c>
      <c r="AK234">
        <v>57.475467999999999</v>
      </c>
      <c r="AL234" s="5">
        <f t="shared" si="37"/>
        <v>-2.6973645361961829</v>
      </c>
      <c r="AO234" s="1">
        <v>42705</v>
      </c>
      <c r="AP234">
        <v>36.927204000000003</v>
      </c>
      <c r="AQ234" s="5">
        <f t="shared" si="38"/>
        <v>-1.2345783354682813</v>
      </c>
      <c r="AT234" s="1">
        <v>42705</v>
      </c>
      <c r="AU234">
        <v>169.51973000000001</v>
      </c>
      <c r="AV234" s="5">
        <f t="shared" si="39"/>
        <v>0.51823303559998501</v>
      </c>
    </row>
    <row r="235" spans="1:48" x14ac:dyDescent="0.2">
      <c r="A235" s="1">
        <v>42706</v>
      </c>
      <c r="B235">
        <v>10.828887</v>
      </c>
      <c r="C235" s="5">
        <f t="shared" si="30"/>
        <v>1.3599257478613478</v>
      </c>
      <c r="F235" s="1">
        <v>42706</v>
      </c>
      <c r="G235">
        <v>169.93182400000001</v>
      </c>
      <c r="H235" s="5">
        <f t="shared" si="31"/>
        <v>-0.36308596385184905</v>
      </c>
      <c r="K235" s="1">
        <v>42706</v>
      </c>
      <c r="L235">
        <v>116.08564800000001</v>
      </c>
      <c r="M235" s="5">
        <f t="shared" si="32"/>
        <v>-0.31446730717916943</v>
      </c>
      <c r="P235" s="1">
        <v>42706</v>
      </c>
      <c r="Q235">
        <v>99.730002999999996</v>
      </c>
      <c r="R235" s="5">
        <f t="shared" si="33"/>
        <v>0.22108430869089554</v>
      </c>
      <c r="U235" s="1">
        <v>42706</v>
      </c>
      <c r="V235">
        <v>8.5299999999999994</v>
      </c>
      <c r="W235" s="5">
        <f t="shared" si="34"/>
        <v>1.6686531585220357</v>
      </c>
      <c r="Z235" s="1">
        <v>42706</v>
      </c>
      <c r="AA235">
        <v>35.492694999999998</v>
      </c>
      <c r="AB235" s="5">
        <f t="shared" si="35"/>
        <v>0.36535985658201653</v>
      </c>
      <c r="AE235" s="1">
        <v>42706</v>
      </c>
      <c r="AF235">
        <v>249.49011200000001</v>
      </c>
      <c r="AG235" s="5">
        <f t="shared" si="36"/>
        <v>-0.58459055708881469</v>
      </c>
      <c r="AJ235" s="1">
        <v>42706</v>
      </c>
      <c r="AK235">
        <v>57.737782000000003</v>
      </c>
      <c r="AL235" s="5">
        <f t="shared" si="37"/>
        <v>0.45639297795714079</v>
      </c>
      <c r="AO235" s="1">
        <v>42706</v>
      </c>
      <c r="AP235">
        <v>37.22184</v>
      </c>
      <c r="AQ235" s="5">
        <f t="shared" si="38"/>
        <v>0.79788331659227973</v>
      </c>
      <c r="AT235" s="1">
        <v>42706</v>
      </c>
      <c r="AU235">
        <v>169.323318</v>
      </c>
      <c r="AV235" s="5">
        <f t="shared" si="39"/>
        <v>-0.11586379945272998</v>
      </c>
    </row>
    <row r="236" spans="1:48" x14ac:dyDescent="0.2">
      <c r="A236" s="1">
        <v>42709</v>
      </c>
      <c r="B236">
        <v>10.983862</v>
      </c>
      <c r="C236" s="5">
        <f t="shared" si="30"/>
        <v>1.4311258396176847</v>
      </c>
      <c r="F236" s="1">
        <v>42709</v>
      </c>
      <c r="G236">
        <v>170.32136499999999</v>
      </c>
      <c r="H236" s="5">
        <f t="shared" si="31"/>
        <v>0.22923369550837042</v>
      </c>
      <c r="K236" s="1">
        <v>42709</v>
      </c>
      <c r="L236">
        <v>116.51123800000001</v>
      </c>
      <c r="M236" s="5">
        <f t="shared" si="32"/>
        <v>0.36661724109081911</v>
      </c>
      <c r="P236" s="1">
        <v>42709</v>
      </c>
      <c r="Q236">
        <v>101.949997</v>
      </c>
      <c r="R236" s="5">
        <f t="shared" si="33"/>
        <v>2.226004144409782</v>
      </c>
      <c r="U236" s="1">
        <v>42709</v>
      </c>
      <c r="V236">
        <v>8.68</v>
      </c>
      <c r="W236" s="5">
        <f t="shared" si="34"/>
        <v>1.7584994138335328</v>
      </c>
      <c r="Z236" s="1">
        <v>42709</v>
      </c>
      <c r="AA236">
        <v>36.258011000000003</v>
      </c>
      <c r="AB236" s="5">
        <f t="shared" si="35"/>
        <v>2.1562634226564246</v>
      </c>
      <c r="AE236" s="1">
        <v>42709</v>
      </c>
      <c r="AF236">
        <v>251.81546</v>
      </c>
      <c r="AG236" s="5">
        <f t="shared" si="36"/>
        <v>0.93204014434046623</v>
      </c>
      <c r="AJ236" s="1">
        <v>42709</v>
      </c>
      <c r="AK236">
        <v>59.12706</v>
      </c>
      <c r="AL236" s="5">
        <f t="shared" si="37"/>
        <v>2.406185260112689</v>
      </c>
      <c r="AO236" s="1">
        <v>42709</v>
      </c>
      <c r="AP236">
        <v>37.742355000000003</v>
      </c>
      <c r="AQ236" s="5">
        <f t="shared" si="38"/>
        <v>1.398412867284377</v>
      </c>
      <c r="AT236" s="1">
        <v>42709</v>
      </c>
      <c r="AU236">
        <v>168.527908</v>
      </c>
      <c r="AV236" s="5">
        <f t="shared" si="39"/>
        <v>-0.46975809911780958</v>
      </c>
    </row>
    <row r="237" spans="1:48" x14ac:dyDescent="0.2">
      <c r="A237" s="1">
        <v>42710</v>
      </c>
      <c r="B237">
        <v>10.974176</v>
      </c>
      <c r="C237" s="5">
        <f t="shared" si="30"/>
        <v>-8.8183919280853174E-2</v>
      </c>
      <c r="F237" s="1">
        <v>42710</v>
      </c>
      <c r="G237">
        <v>173.09794600000001</v>
      </c>
      <c r="H237" s="5">
        <f t="shared" si="31"/>
        <v>1.6302012375253225</v>
      </c>
      <c r="K237" s="1">
        <v>42710</v>
      </c>
      <c r="L237">
        <v>117.194153</v>
      </c>
      <c r="M237" s="5">
        <f t="shared" si="32"/>
        <v>0.58613659224871872</v>
      </c>
      <c r="P237" s="1">
        <v>42710</v>
      </c>
      <c r="Q237">
        <v>101.550003</v>
      </c>
      <c r="R237" s="5">
        <f t="shared" si="33"/>
        <v>-0.39234331708709358</v>
      </c>
      <c r="U237" s="1">
        <v>42710</v>
      </c>
      <c r="V237">
        <v>9.4499999999999993</v>
      </c>
      <c r="W237" s="5">
        <f t="shared" si="34"/>
        <v>8.8709677419354787</v>
      </c>
      <c r="Z237" s="1">
        <v>42710</v>
      </c>
      <c r="AA237">
        <v>36.476672999999998</v>
      </c>
      <c r="AB237" s="5">
        <f t="shared" si="35"/>
        <v>0.60307224243490576</v>
      </c>
      <c r="AE237" s="1">
        <v>42710</v>
      </c>
      <c r="AF237">
        <v>251.34639000000001</v>
      </c>
      <c r="AG237" s="5">
        <f t="shared" si="36"/>
        <v>-0.18627529858571348</v>
      </c>
      <c r="AJ237" s="1">
        <v>42710</v>
      </c>
      <c r="AK237">
        <v>59.865417000000001</v>
      </c>
      <c r="AL237" s="5">
        <f t="shared" si="37"/>
        <v>1.2487632566205737</v>
      </c>
      <c r="AO237" s="1">
        <v>42710</v>
      </c>
      <c r="AP237">
        <v>37.732532999999997</v>
      </c>
      <c r="AQ237" s="5">
        <f t="shared" si="38"/>
        <v>-2.602381329942681E-2</v>
      </c>
      <c r="AT237" s="1">
        <v>42710</v>
      </c>
      <c r="AU237">
        <v>168.70468099999999</v>
      </c>
      <c r="AV237" s="5">
        <f t="shared" si="39"/>
        <v>0.10489241936118805</v>
      </c>
    </row>
    <row r="238" spans="1:48" x14ac:dyDescent="0.2">
      <c r="A238" s="1">
        <v>42711</v>
      </c>
      <c r="B238">
        <v>11.255069000000001</v>
      </c>
      <c r="C238" s="5">
        <f t="shared" si="30"/>
        <v>2.5595816943340504</v>
      </c>
      <c r="F238" s="1">
        <v>42711</v>
      </c>
      <c r="G238">
        <v>176.56372099999999</v>
      </c>
      <c r="H238" s="5">
        <f t="shared" si="31"/>
        <v>2.0022045784413751</v>
      </c>
      <c r="K238" s="1">
        <v>42711</v>
      </c>
      <c r="L238">
        <v>120.321701</v>
      </c>
      <c r="M238" s="5">
        <f t="shared" si="32"/>
        <v>2.6686894524507587</v>
      </c>
      <c r="P238" s="1">
        <v>42711</v>
      </c>
      <c r="Q238">
        <v>103.360001</v>
      </c>
      <c r="R238" s="5">
        <f t="shared" si="33"/>
        <v>1.7823711930367871</v>
      </c>
      <c r="U238" s="1">
        <v>42711</v>
      </c>
      <c r="V238">
        <v>9.56</v>
      </c>
      <c r="W238" s="5">
        <f t="shared" si="34"/>
        <v>1.1640211640211768</v>
      </c>
      <c r="Z238" s="1">
        <v>42711</v>
      </c>
      <c r="AA238">
        <v>37.222110999999998</v>
      </c>
      <c r="AB238" s="5">
        <f t="shared" si="35"/>
        <v>2.0436019480175727</v>
      </c>
      <c r="AE238" s="1">
        <v>42711</v>
      </c>
      <c r="AF238">
        <v>253.75155599999999</v>
      </c>
      <c r="AG238" s="5">
        <f t="shared" si="36"/>
        <v>0.95691288822567921</v>
      </c>
      <c r="AJ238" s="1">
        <v>42711</v>
      </c>
      <c r="AK238">
        <v>58.281834000000003</v>
      </c>
      <c r="AL238" s="5">
        <f t="shared" si="37"/>
        <v>-2.6452384019975961</v>
      </c>
      <c r="AO238" s="1">
        <v>42711</v>
      </c>
      <c r="AP238">
        <v>37.791462000000003</v>
      </c>
      <c r="AQ238" s="5">
        <f t="shared" si="38"/>
        <v>0.15617557400667015</v>
      </c>
      <c r="AT238" s="1">
        <v>42711</v>
      </c>
      <c r="AU238">
        <v>172.87811300000001</v>
      </c>
      <c r="AV238" s="5">
        <f t="shared" si="39"/>
        <v>2.4738092477706766</v>
      </c>
    </row>
    <row r="239" spans="1:48" x14ac:dyDescent="0.2">
      <c r="A239" s="1">
        <v>42712</v>
      </c>
      <c r="B239">
        <v>11.468161</v>
      </c>
      <c r="C239" s="5">
        <f t="shared" si="30"/>
        <v>1.8932980330906866</v>
      </c>
      <c r="F239" s="1">
        <v>42712</v>
      </c>
      <c r="G239">
        <v>176.30403100000001</v>
      </c>
      <c r="H239" s="5">
        <f t="shared" si="31"/>
        <v>-0.14708004482980838</v>
      </c>
      <c r="K239" s="1">
        <v>42712</v>
      </c>
      <c r="L239">
        <v>120.489952</v>
      </c>
      <c r="M239" s="5">
        <f t="shared" si="32"/>
        <v>0.13983429306738102</v>
      </c>
      <c r="P239" s="1">
        <v>42712</v>
      </c>
      <c r="Q239">
        <v>103.5</v>
      </c>
      <c r="R239" s="5">
        <f t="shared" si="33"/>
        <v>0.13544794760596324</v>
      </c>
      <c r="U239" s="1">
        <v>42712</v>
      </c>
      <c r="V239">
        <v>10.34</v>
      </c>
      <c r="W239" s="5">
        <f t="shared" si="34"/>
        <v>8.1589958158995746</v>
      </c>
      <c r="Z239" s="1">
        <v>42712</v>
      </c>
      <c r="AA239">
        <v>37.162472000000001</v>
      </c>
      <c r="AB239" s="5">
        <f t="shared" si="35"/>
        <v>-0.1602246578653132</v>
      </c>
      <c r="AE239" s="1">
        <v>42712</v>
      </c>
      <c r="AF239">
        <v>246.27654999999999</v>
      </c>
      <c r="AG239" s="5">
        <f t="shared" si="36"/>
        <v>-2.9457971087278803</v>
      </c>
      <c r="AJ239" s="1">
        <v>42712</v>
      </c>
      <c r="AK239">
        <v>59.165923999999997</v>
      </c>
      <c r="AL239" s="5">
        <f t="shared" si="37"/>
        <v>1.5169220652870898</v>
      </c>
      <c r="AO239" s="1">
        <v>42712</v>
      </c>
      <c r="AP239">
        <v>37.987881000000002</v>
      </c>
      <c r="AQ239" s="5">
        <f t="shared" si="38"/>
        <v>0.51974438035765524</v>
      </c>
      <c r="AT239" s="1">
        <v>42712</v>
      </c>
      <c r="AU239">
        <v>172.71118200000001</v>
      </c>
      <c r="AV239" s="5">
        <f t="shared" si="39"/>
        <v>-9.6559938735567563E-2</v>
      </c>
    </row>
    <row r="240" spans="1:48" x14ac:dyDescent="0.2">
      <c r="A240" s="1">
        <v>42713</v>
      </c>
      <c r="B240">
        <v>11.545648</v>
      </c>
      <c r="C240" s="5">
        <f t="shared" si="30"/>
        <v>0.67567066768594919</v>
      </c>
      <c r="F240" s="1">
        <v>42713</v>
      </c>
      <c r="G240">
        <v>175.36518899999999</v>
      </c>
      <c r="H240" s="5">
        <f t="shared" si="31"/>
        <v>-0.53251306545567434</v>
      </c>
      <c r="K240" s="1">
        <v>42713</v>
      </c>
      <c r="L240">
        <v>122.043831</v>
      </c>
      <c r="M240" s="5">
        <f t="shared" si="32"/>
        <v>1.2896336783336049</v>
      </c>
      <c r="P240" s="1">
        <v>42713</v>
      </c>
      <c r="Q240">
        <v>104.30999799999999</v>
      </c>
      <c r="R240" s="5">
        <f t="shared" si="33"/>
        <v>0.78260676328501755</v>
      </c>
      <c r="U240" s="1">
        <v>42713</v>
      </c>
      <c r="V240">
        <v>10.34</v>
      </c>
      <c r="W240" s="5">
        <f t="shared" si="34"/>
        <v>0</v>
      </c>
      <c r="Z240" s="1">
        <v>42713</v>
      </c>
      <c r="AA240">
        <v>36.566124000000002</v>
      </c>
      <c r="AB240" s="5">
        <f t="shared" si="35"/>
        <v>-1.6047048753914943</v>
      </c>
      <c r="AE240" s="1">
        <v>42713</v>
      </c>
      <c r="AF240">
        <v>248.33242799999999</v>
      </c>
      <c r="AG240" s="5">
        <f t="shared" si="36"/>
        <v>0.83478431056469116</v>
      </c>
      <c r="AJ240" s="1">
        <v>42713</v>
      </c>
      <c r="AK240">
        <v>59.787700999999998</v>
      </c>
      <c r="AL240" s="5">
        <f t="shared" si="37"/>
        <v>1.0509038952894603</v>
      </c>
      <c r="AO240" s="1">
        <v>42713</v>
      </c>
      <c r="AP240">
        <v>38.498576999999997</v>
      </c>
      <c r="AQ240" s="5">
        <f t="shared" si="38"/>
        <v>1.3443655885938881</v>
      </c>
      <c r="AT240" s="1">
        <v>42713</v>
      </c>
      <c r="AU240">
        <v>175.27415500000001</v>
      </c>
      <c r="AV240" s="5">
        <f t="shared" si="39"/>
        <v>1.4839647151508693</v>
      </c>
    </row>
    <row r="241" spans="1:48" x14ac:dyDescent="0.2">
      <c r="A241" s="1">
        <v>42716</v>
      </c>
      <c r="B241">
        <v>11.632820000000001</v>
      </c>
      <c r="C241" s="5">
        <f t="shared" si="30"/>
        <v>0.75502041981533374</v>
      </c>
      <c r="F241" s="1">
        <v>42716</v>
      </c>
      <c r="G241">
        <v>172.78833</v>
      </c>
      <c r="H241" s="5">
        <f t="shared" si="31"/>
        <v>-1.4694244705544068</v>
      </c>
      <c r="K241" s="1">
        <v>42716</v>
      </c>
      <c r="L241">
        <v>122.34075199999999</v>
      </c>
      <c r="M241" s="5">
        <f t="shared" si="32"/>
        <v>0.24329046176860633</v>
      </c>
      <c r="P241" s="1">
        <v>42716</v>
      </c>
      <c r="Q241">
        <v>105.160004</v>
      </c>
      <c r="R241" s="5">
        <f t="shared" si="33"/>
        <v>0.8148844945812459</v>
      </c>
      <c r="U241" s="1">
        <v>42716</v>
      </c>
      <c r="V241">
        <v>10.68</v>
      </c>
      <c r="W241" s="5">
        <f t="shared" si="34"/>
        <v>3.2882011605415844</v>
      </c>
      <c r="Z241" s="1">
        <v>42716</v>
      </c>
      <c r="AA241">
        <v>36.943809999999999</v>
      </c>
      <c r="AB241" s="5">
        <f t="shared" si="35"/>
        <v>1.0328849729875582</v>
      </c>
      <c r="AE241" s="1">
        <v>42716</v>
      </c>
      <c r="AF241">
        <v>247.82345599999999</v>
      </c>
      <c r="AG241" s="5">
        <f t="shared" si="36"/>
        <v>-0.20495591498022162</v>
      </c>
      <c r="AJ241" s="1">
        <v>42716</v>
      </c>
      <c r="AK241">
        <v>60.273463999999997</v>
      </c>
      <c r="AL241" s="5">
        <f t="shared" si="37"/>
        <v>0.81247981085608001</v>
      </c>
      <c r="AO241" s="1">
        <v>42716</v>
      </c>
      <c r="AP241">
        <v>38.498576999999997</v>
      </c>
      <c r="AQ241" s="5">
        <f t="shared" si="38"/>
        <v>0</v>
      </c>
      <c r="AT241" s="1">
        <v>42716</v>
      </c>
      <c r="AU241">
        <v>176.403412</v>
      </c>
      <c r="AV241" s="5">
        <f t="shared" si="39"/>
        <v>0.64428038463514226</v>
      </c>
    </row>
    <row r="242" spans="1:48" x14ac:dyDescent="0.2">
      <c r="A242" s="1">
        <v>42717</v>
      </c>
      <c r="B242">
        <v>11.807167</v>
      </c>
      <c r="C242" s="5">
        <f t="shared" si="30"/>
        <v>1.4987509477495493</v>
      </c>
      <c r="F242" s="1">
        <v>42717</v>
      </c>
      <c r="G242">
        <v>171.65971400000001</v>
      </c>
      <c r="H242" s="5">
        <f t="shared" si="31"/>
        <v>-0.65317837147913516</v>
      </c>
      <c r="K242" s="1">
        <v>42717</v>
      </c>
      <c r="L242">
        <v>124.11237300000001</v>
      </c>
      <c r="M242" s="5">
        <f t="shared" si="32"/>
        <v>1.4481037357037092</v>
      </c>
      <c r="P242" s="1">
        <v>42717</v>
      </c>
      <c r="Q242">
        <v>106.150002</v>
      </c>
      <c r="R242" s="5">
        <f t="shared" si="33"/>
        <v>0.94142065646935502</v>
      </c>
      <c r="U242" s="1">
        <v>42717</v>
      </c>
      <c r="V242">
        <v>10.54</v>
      </c>
      <c r="W242" s="5">
        <f t="shared" si="34"/>
        <v>-1.310861423220979</v>
      </c>
      <c r="Z242" s="1">
        <v>42717</v>
      </c>
      <c r="AA242">
        <v>37.092899000000003</v>
      </c>
      <c r="AB242" s="5">
        <f t="shared" si="35"/>
        <v>0.40355610317399204</v>
      </c>
      <c r="AE242" s="1">
        <v>42717</v>
      </c>
      <c r="AF242">
        <v>248.84139999999999</v>
      </c>
      <c r="AG242" s="5">
        <f t="shared" si="36"/>
        <v>0.41075369395219796</v>
      </c>
      <c r="AJ242" s="1">
        <v>42717</v>
      </c>
      <c r="AK242">
        <v>60.224884000000003</v>
      </c>
      <c r="AL242" s="5">
        <f t="shared" si="37"/>
        <v>-8.0599316475313376E-2</v>
      </c>
      <c r="AO242" s="1">
        <v>42717</v>
      </c>
      <c r="AP242">
        <v>38.734282999999998</v>
      </c>
      <c r="AQ242" s="5">
        <f t="shared" si="38"/>
        <v>0.61224600587185452</v>
      </c>
      <c r="AT242" s="1">
        <v>42717</v>
      </c>
      <c r="AU242">
        <v>175.60801699999999</v>
      </c>
      <c r="AV242" s="5">
        <f t="shared" si="39"/>
        <v>-0.45089547360910082</v>
      </c>
    </row>
    <row r="243" spans="1:48" x14ac:dyDescent="0.2">
      <c r="A243" s="1">
        <v>42718</v>
      </c>
      <c r="B243">
        <v>11.565018999999999</v>
      </c>
      <c r="C243" s="5">
        <f t="shared" si="30"/>
        <v>-2.0508560605605073</v>
      </c>
      <c r="F243" s="1">
        <v>42718</v>
      </c>
      <c r="G243">
        <v>171.30017100000001</v>
      </c>
      <c r="H243" s="5">
        <f t="shared" si="31"/>
        <v>-0.20945100724098967</v>
      </c>
      <c r="K243" s="1">
        <v>42718</v>
      </c>
      <c r="L243">
        <v>122.380348</v>
      </c>
      <c r="M243" s="5">
        <f t="shared" si="32"/>
        <v>-1.3955296785760491</v>
      </c>
      <c r="P243" s="1">
        <v>42718</v>
      </c>
      <c r="Q243">
        <v>105.80999799999999</v>
      </c>
      <c r="R243" s="5">
        <f t="shared" si="33"/>
        <v>-0.32030522241535853</v>
      </c>
      <c r="U243" s="1">
        <v>42718</v>
      </c>
      <c r="V243">
        <v>10.55</v>
      </c>
      <c r="W243" s="5">
        <f t="shared" si="34"/>
        <v>9.4876660341570815E-2</v>
      </c>
      <c r="Z243" s="1">
        <v>42718</v>
      </c>
      <c r="AA243">
        <v>36.51643</v>
      </c>
      <c r="AB243" s="5">
        <f t="shared" si="35"/>
        <v>-1.5541222593575199</v>
      </c>
      <c r="AE243" s="1">
        <v>42718</v>
      </c>
      <c r="AF243">
        <v>243.62185700000001</v>
      </c>
      <c r="AG243" s="5">
        <f t="shared" si="36"/>
        <v>-2.0975380302473736</v>
      </c>
      <c r="AJ243" s="1">
        <v>42718</v>
      </c>
      <c r="AK243">
        <v>59.913997999999999</v>
      </c>
      <c r="AL243" s="5">
        <f t="shared" si="37"/>
        <v>-0.51620854927674664</v>
      </c>
      <c r="AO243" s="1">
        <v>42718</v>
      </c>
      <c r="AP243">
        <v>38.125377999999998</v>
      </c>
      <c r="AQ243" s="5">
        <f t="shared" si="38"/>
        <v>-1.5720053473043509</v>
      </c>
      <c r="AT243" s="1">
        <v>42718</v>
      </c>
      <c r="AU243">
        <v>173.418182</v>
      </c>
      <c r="AV243" s="5">
        <f t="shared" si="39"/>
        <v>-1.2470017243005416</v>
      </c>
    </row>
    <row r="244" spans="1:48" x14ac:dyDescent="0.2">
      <c r="A244" s="1">
        <v>42719</v>
      </c>
      <c r="B244">
        <v>11.429416</v>
      </c>
      <c r="C244" s="5">
        <f t="shared" si="30"/>
        <v>-1.1725272565483871</v>
      </c>
      <c r="F244" s="1">
        <v>42719</v>
      </c>
      <c r="G244">
        <v>172.70843500000001</v>
      </c>
      <c r="H244" s="5">
        <f t="shared" si="31"/>
        <v>0.82210309060345454</v>
      </c>
      <c r="K244" s="1">
        <v>42719</v>
      </c>
      <c r="L244">
        <v>123.271103</v>
      </c>
      <c r="M244" s="5">
        <f t="shared" si="32"/>
        <v>0.72785787469733187</v>
      </c>
      <c r="P244" s="1">
        <v>42719</v>
      </c>
      <c r="Q244">
        <v>105.099998</v>
      </c>
      <c r="R244" s="5">
        <f t="shared" si="33"/>
        <v>-0.67101409452818794</v>
      </c>
      <c r="U244" s="1">
        <v>42719</v>
      </c>
      <c r="V244">
        <v>10.86</v>
      </c>
      <c r="W244" s="5">
        <f t="shared" si="34"/>
        <v>2.9383886255924048</v>
      </c>
      <c r="Z244" s="1">
        <v>42719</v>
      </c>
      <c r="AA244">
        <v>36.764907999999998</v>
      </c>
      <c r="AB244" s="5">
        <f t="shared" si="35"/>
        <v>0.68045534571697908</v>
      </c>
      <c r="AE244" s="1">
        <v>42719</v>
      </c>
      <c r="AF244">
        <v>243.34243799999999</v>
      </c>
      <c r="AG244" s="5">
        <f t="shared" si="36"/>
        <v>-0.11469373209810912</v>
      </c>
      <c r="AJ244" s="1">
        <v>42719</v>
      </c>
      <c r="AK244">
        <v>60.254032000000002</v>
      </c>
      <c r="AL244" s="5">
        <f t="shared" si="37"/>
        <v>0.56753682169566255</v>
      </c>
      <c r="AO244" s="1">
        <v>42719</v>
      </c>
      <c r="AP244">
        <v>38.233409999999999</v>
      </c>
      <c r="AQ244" s="5">
        <f t="shared" si="38"/>
        <v>0.28335981350795125</v>
      </c>
      <c r="AT244" s="1">
        <v>42719</v>
      </c>
      <c r="AU244">
        <v>172.848648</v>
      </c>
      <c r="AV244" s="5">
        <f t="shared" si="39"/>
        <v>-0.32841654400459835</v>
      </c>
    </row>
    <row r="245" spans="1:48" x14ac:dyDescent="0.2">
      <c r="A245" s="1">
        <v>42720</v>
      </c>
      <c r="B245">
        <v>11.380985000000001</v>
      </c>
      <c r="C245" s="5">
        <f t="shared" si="30"/>
        <v>-0.42373993561874901</v>
      </c>
      <c r="F245" s="1">
        <v>42720</v>
      </c>
      <c r="G245">
        <v>171.69967700000001</v>
      </c>
      <c r="H245" s="5">
        <f t="shared" si="31"/>
        <v>-0.58408148970836327</v>
      </c>
      <c r="K245" s="1">
        <v>42720</v>
      </c>
      <c r="L245">
        <v>121.737015</v>
      </c>
      <c r="M245" s="5">
        <f t="shared" si="32"/>
        <v>-1.244483064291229</v>
      </c>
      <c r="P245" s="1">
        <v>42720</v>
      </c>
      <c r="Q245">
        <v>103.550003</v>
      </c>
      <c r="R245" s="5">
        <f t="shared" si="33"/>
        <v>-1.4747811888635769</v>
      </c>
      <c r="U245" s="1">
        <v>42720</v>
      </c>
      <c r="V245">
        <v>10.66</v>
      </c>
      <c r="W245" s="5">
        <f t="shared" si="34"/>
        <v>-1.8416206261510064</v>
      </c>
      <c r="Z245" s="1">
        <v>42720</v>
      </c>
      <c r="AA245">
        <v>36.248074000000003</v>
      </c>
      <c r="AB245" s="5">
        <f t="shared" si="35"/>
        <v>-1.4057807515797287</v>
      </c>
      <c r="AE245" s="1">
        <v>42720</v>
      </c>
      <c r="AF245">
        <v>247.66377299999999</v>
      </c>
      <c r="AG245" s="5">
        <f t="shared" si="36"/>
        <v>1.7758246508568327</v>
      </c>
      <c r="AJ245" s="1">
        <v>42720</v>
      </c>
      <c r="AK245">
        <v>60.448334000000003</v>
      </c>
      <c r="AL245" s="5">
        <f t="shared" si="37"/>
        <v>0.32247136589963044</v>
      </c>
      <c r="AO245" s="1">
        <v>42720</v>
      </c>
      <c r="AP245">
        <v>37.418258999999999</v>
      </c>
      <c r="AQ245" s="5">
        <f t="shared" si="38"/>
        <v>-2.1320384449098317</v>
      </c>
      <c r="AT245" s="1">
        <v>42720</v>
      </c>
      <c r="AU245">
        <v>174.25288399999999</v>
      </c>
      <c r="AV245" s="5">
        <f t="shared" si="39"/>
        <v>0.81240785869496501</v>
      </c>
    </row>
    <row r="246" spans="1:48" x14ac:dyDescent="0.2">
      <c r="A246" s="1">
        <v>42723</v>
      </c>
      <c r="B246">
        <v>11.468161</v>
      </c>
      <c r="C246" s="5">
        <f t="shared" si="30"/>
        <v>0.76597939457788122</v>
      </c>
      <c r="F246" s="1">
        <v>42723</v>
      </c>
      <c r="G246">
        <v>173.60734600000001</v>
      </c>
      <c r="H246" s="5">
        <f t="shared" si="31"/>
        <v>1.1110498478107202</v>
      </c>
      <c r="K246" s="1">
        <v>42723</v>
      </c>
      <c r="L246">
        <v>122.380348</v>
      </c>
      <c r="M246" s="5">
        <f t="shared" si="32"/>
        <v>0.52846129010145215</v>
      </c>
      <c r="P246" s="1">
        <v>42723</v>
      </c>
      <c r="Q246">
        <v>105.290001</v>
      </c>
      <c r="R246" s="5">
        <f t="shared" si="33"/>
        <v>1.6803456780199222</v>
      </c>
      <c r="U246" s="1">
        <v>42723</v>
      </c>
      <c r="V246">
        <v>10.95</v>
      </c>
      <c r="W246" s="5">
        <f t="shared" si="34"/>
        <v>2.7204502814258831</v>
      </c>
      <c r="Z246" s="1">
        <v>42723</v>
      </c>
      <c r="AA246">
        <v>36.407100999999997</v>
      </c>
      <c r="AB246" s="5">
        <f t="shared" si="35"/>
        <v>0.43871848198057284</v>
      </c>
      <c r="AE246" s="1">
        <v>42723</v>
      </c>
      <c r="AF246">
        <v>245.07896400000001</v>
      </c>
      <c r="AG246" s="5">
        <f t="shared" si="36"/>
        <v>-1.0436766623917899</v>
      </c>
      <c r="AJ246" s="1">
        <v>42723</v>
      </c>
      <c r="AK246">
        <v>60.448334000000003</v>
      </c>
      <c r="AL246" s="5">
        <f t="shared" si="37"/>
        <v>0</v>
      </c>
      <c r="AO246" s="1">
        <v>42723</v>
      </c>
      <c r="AP246">
        <v>37.653964999999999</v>
      </c>
      <c r="AQ246" s="5">
        <f t="shared" si="38"/>
        <v>0.62992241301232221</v>
      </c>
      <c r="AT246" s="1">
        <v>42723</v>
      </c>
      <c r="AU246">
        <v>174.95008899999999</v>
      </c>
      <c r="AV246" s="5">
        <f t="shared" si="39"/>
        <v>0.40011102484822969</v>
      </c>
    </row>
    <row r="247" spans="1:48" x14ac:dyDescent="0.2">
      <c r="A247" s="1">
        <v>42724</v>
      </c>
      <c r="B247">
        <v>11.565018999999999</v>
      </c>
      <c r="C247" s="5">
        <f t="shared" si="30"/>
        <v>0.84458179476203044</v>
      </c>
      <c r="F247" s="1">
        <v>42724</v>
      </c>
      <c r="G247">
        <v>175.415131</v>
      </c>
      <c r="H247" s="5">
        <f t="shared" si="31"/>
        <v>1.0413067428609821</v>
      </c>
      <c r="K247" s="1">
        <v>42724</v>
      </c>
      <c r="L247">
        <v>122.825722</v>
      </c>
      <c r="M247" s="5">
        <f t="shared" si="32"/>
        <v>0.36392607741236449</v>
      </c>
      <c r="P247" s="1">
        <v>42724</v>
      </c>
      <c r="Q247">
        <v>105.769997</v>
      </c>
      <c r="R247" s="5">
        <f t="shared" si="33"/>
        <v>0.45587994628283823</v>
      </c>
      <c r="U247" s="1">
        <v>42724</v>
      </c>
      <c r="V247">
        <v>11.51</v>
      </c>
      <c r="W247" s="5">
        <f t="shared" si="34"/>
        <v>5.1141552511415576</v>
      </c>
      <c r="Z247" s="1">
        <v>42724</v>
      </c>
      <c r="AA247">
        <v>36.605885000000001</v>
      </c>
      <c r="AB247" s="5">
        <f t="shared" si="35"/>
        <v>0.5460033744516033</v>
      </c>
      <c r="AE247" s="1">
        <v>42724</v>
      </c>
      <c r="AF247">
        <v>231.25663800000001</v>
      </c>
      <c r="AG247" s="5">
        <f t="shared" si="36"/>
        <v>-5.6399479475521215</v>
      </c>
      <c r="AJ247" s="1">
        <v>42724</v>
      </c>
      <c r="AK247">
        <v>60.390045000000001</v>
      </c>
      <c r="AL247" s="5">
        <f t="shared" si="37"/>
        <v>-9.642780229476966E-2</v>
      </c>
      <c r="AO247" s="1">
        <v>42724</v>
      </c>
      <c r="AP247">
        <v>37.506649000000003</v>
      </c>
      <c r="AQ247" s="5">
        <f t="shared" si="38"/>
        <v>-0.39123635452467342</v>
      </c>
      <c r="AT247" s="1">
        <v>42724</v>
      </c>
      <c r="AU247">
        <v>175.43124399999999</v>
      </c>
      <c r="AV247" s="5">
        <f t="shared" si="39"/>
        <v>0.27502415274564457</v>
      </c>
    </row>
    <row r="248" spans="1:48" x14ac:dyDescent="0.2">
      <c r="A248" s="1">
        <v>42725</v>
      </c>
      <c r="B248">
        <v>11.603762</v>
      </c>
      <c r="C248" s="5">
        <f t="shared" si="30"/>
        <v>0.33500161132463507</v>
      </c>
      <c r="F248" s="1">
        <v>42725</v>
      </c>
      <c r="G248">
        <v>173.356934</v>
      </c>
      <c r="H248" s="5">
        <f t="shared" si="31"/>
        <v>-1.1733292266560555</v>
      </c>
      <c r="K248" s="1">
        <v>42725</v>
      </c>
      <c r="L248">
        <v>116.689384</v>
      </c>
      <c r="M248" s="5">
        <f t="shared" si="32"/>
        <v>-4.9959714464369238</v>
      </c>
      <c r="P248" s="1">
        <v>42725</v>
      </c>
      <c r="Q248">
        <v>105.510002</v>
      </c>
      <c r="R248" s="5">
        <f t="shared" si="33"/>
        <v>-0.24581167379630683</v>
      </c>
      <c r="U248" s="1">
        <v>42725</v>
      </c>
      <c r="V248">
        <v>11.47</v>
      </c>
      <c r="W248" s="5">
        <f t="shared" si="34"/>
        <v>-0.34752389226758601</v>
      </c>
      <c r="Z248" s="1">
        <v>42725</v>
      </c>
      <c r="AA248">
        <v>36.675457000000002</v>
      </c>
      <c r="AB248" s="5">
        <f t="shared" si="35"/>
        <v>0.19005687200296031</v>
      </c>
      <c r="AE248" s="1">
        <v>42725</v>
      </c>
      <c r="AF248">
        <v>229.87939499999999</v>
      </c>
      <c r="AG248" s="5">
        <f t="shared" si="36"/>
        <v>-0.59554744543160798</v>
      </c>
      <c r="AJ248" s="1">
        <v>42725</v>
      </c>
      <c r="AK248">
        <v>59.70026</v>
      </c>
      <c r="AL248" s="5">
        <f t="shared" si="37"/>
        <v>-1.1422164033823794</v>
      </c>
      <c r="AO248" s="1">
        <v>42725</v>
      </c>
      <c r="AP248">
        <v>37.555759000000002</v>
      </c>
      <c r="AQ248" s="5">
        <f t="shared" si="38"/>
        <v>0.13093678403527564</v>
      </c>
      <c r="AT248" s="1">
        <v>42725</v>
      </c>
      <c r="AU248">
        <v>175.21521000000001</v>
      </c>
      <c r="AV248" s="5">
        <f t="shared" si="39"/>
        <v>-0.12314454088918117</v>
      </c>
    </row>
    <row r="249" spans="1:48" x14ac:dyDescent="0.2">
      <c r="A249" s="1">
        <v>42726</v>
      </c>
      <c r="B249">
        <v>11.410043999999999</v>
      </c>
      <c r="C249" s="5">
        <f t="shared" si="30"/>
        <v>-1.6694413415235552</v>
      </c>
      <c r="F249" s="1">
        <v>42726</v>
      </c>
      <c r="G249">
        <v>170.23968500000001</v>
      </c>
      <c r="H249" s="5">
        <f t="shared" si="31"/>
        <v>-1.79816805020328</v>
      </c>
      <c r="K249" s="1">
        <v>42726</v>
      </c>
      <c r="L249">
        <v>116.580513</v>
      </c>
      <c r="M249" s="5">
        <f t="shared" si="32"/>
        <v>-9.3299832656591725E-2</v>
      </c>
      <c r="P249" s="1">
        <v>42726</v>
      </c>
      <c r="Q249">
        <v>104.720001</v>
      </c>
      <c r="R249" s="5">
        <f t="shared" si="33"/>
        <v>-0.74874512844763641</v>
      </c>
      <c r="U249" s="1">
        <v>42726</v>
      </c>
      <c r="V249">
        <v>11.6</v>
      </c>
      <c r="W249" s="5">
        <f t="shared" si="34"/>
        <v>1.1333914559720926</v>
      </c>
      <c r="Z249" s="1">
        <v>42726</v>
      </c>
      <c r="AA249">
        <v>36.218254000000002</v>
      </c>
      <c r="AB249" s="5">
        <f t="shared" si="35"/>
        <v>-1.2466184129621065</v>
      </c>
      <c r="AE249" s="1">
        <v>42726</v>
      </c>
      <c r="AF249">
        <v>231.83547999999999</v>
      </c>
      <c r="AG249" s="5">
        <f t="shared" si="36"/>
        <v>0.85091793459783627</v>
      </c>
      <c r="AJ249" s="1">
        <v>42726</v>
      </c>
      <c r="AK249">
        <v>59.904277999999998</v>
      </c>
      <c r="AL249" s="5">
        <f t="shared" si="37"/>
        <v>0.34173720516459699</v>
      </c>
      <c r="AO249" s="1">
        <v>42726</v>
      </c>
      <c r="AP249">
        <v>37.604858</v>
      </c>
      <c r="AQ249" s="5">
        <f t="shared" si="38"/>
        <v>0.13073627402923271</v>
      </c>
      <c r="AT249" s="1">
        <v>42726</v>
      </c>
      <c r="AU249">
        <v>175.97134399999999</v>
      </c>
      <c r="AV249" s="5">
        <f t="shared" si="39"/>
        <v>0.43154586864917405</v>
      </c>
    </row>
    <row r="250" spans="1:48" x14ac:dyDescent="0.2">
      <c r="A250" s="1">
        <v>42727</v>
      </c>
      <c r="B250">
        <v>11.361613999999999</v>
      </c>
      <c r="C250" s="5">
        <f t="shared" si="30"/>
        <v>-0.42445059808708674</v>
      </c>
      <c r="F250" s="1">
        <v>42727</v>
      </c>
      <c r="G250">
        <v>170.73924299999999</v>
      </c>
      <c r="H250" s="5">
        <f t="shared" si="31"/>
        <v>0.29344391702791217</v>
      </c>
      <c r="K250" s="1">
        <v>42727</v>
      </c>
      <c r="L250">
        <v>116.27370500000001</v>
      </c>
      <c r="M250" s="5">
        <f t="shared" si="32"/>
        <v>-0.26317262817327758</v>
      </c>
      <c r="P250" s="1">
        <v>42727</v>
      </c>
      <c r="Q250">
        <v>105.019997</v>
      </c>
      <c r="R250" s="5">
        <f t="shared" si="33"/>
        <v>0.2864744052093805</v>
      </c>
      <c r="U250" s="1">
        <v>42727</v>
      </c>
      <c r="V250">
        <v>11.58</v>
      </c>
      <c r="W250" s="5">
        <f t="shared" si="34"/>
        <v>-0.1724137931034446</v>
      </c>
      <c r="Z250" s="1">
        <v>42727</v>
      </c>
      <c r="AA250">
        <v>36.277889000000002</v>
      </c>
      <c r="AB250" s="5">
        <f t="shared" si="35"/>
        <v>0.1646545413260399</v>
      </c>
      <c r="AE250" s="1">
        <v>42727</v>
      </c>
      <c r="AF250">
        <v>234.45024100000001</v>
      </c>
      <c r="AG250" s="5">
        <f t="shared" si="36"/>
        <v>1.1278519577762711</v>
      </c>
      <c r="AJ250" s="1">
        <v>42727</v>
      </c>
      <c r="AK250">
        <v>60.564922000000003</v>
      </c>
      <c r="AL250" s="5">
        <f t="shared" si="37"/>
        <v>1.102832755951094</v>
      </c>
      <c r="AO250" s="1">
        <v>42727</v>
      </c>
      <c r="AP250">
        <v>37.732532999999997</v>
      </c>
      <c r="AQ250" s="5">
        <f t="shared" si="38"/>
        <v>0.33951730385472118</v>
      </c>
      <c r="AT250" s="1">
        <v>42727</v>
      </c>
      <c r="AU250">
        <v>175.529449</v>
      </c>
      <c r="AV250" s="5">
        <f t="shared" si="39"/>
        <v>-0.251117591055046</v>
      </c>
    </row>
    <row r="251" spans="1:48" x14ac:dyDescent="0.2">
      <c r="A251" s="1">
        <v>42731</v>
      </c>
      <c r="B251">
        <v>11.487531000000001</v>
      </c>
      <c r="C251" s="5">
        <f t="shared" si="30"/>
        <v>1.1082668360322854</v>
      </c>
      <c r="F251" s="1">
        <v>42731</v>
      </c>
      <c r="G251">
        <v>171.6884</v>
      </c>
      <c r="H251" s="5">
        <f t="shared" si="31"/>
        <v>0.55591027775613011</v>
      </c>
      <c r="K251" s="1">
        <v>42731</v>
      </c>
      <c r="L251">
        <v>116.342979</v>
      </c>
      <c r="M251" s="5">
        <f t="shared" si="32"/>
        <v>5.9578388768116532E-2</v>
      </c>
      <c r="P251" s="1">
        <v>42731</v>
      </c>
      <c r="Q251">
        <v>104.980003</v>
      </c>
      <c r="R251" s="5">
        <f t="shared" si="33"/>
        <v>-3.8082271131665707E-2</v>
      </c>
      <c r="U251" s="1">
        <v>42731</v>
      </c>
      <c r="V251">
        <v>12.07</v>
      </c>
      <c r="W251" s="5">
        <f t="shared" si="34"/>
        <v>4.2314335060449073</v>
      </c>
      <c r="Z251" s="1">
        <v>42731</v>
      </c>
      <c r="AA251">
        <v>36.307704999999999</v>
      </c>
      <c r="AB251" s="5">
        <f t="shared" si="35"/>
        <v>8.2187803154689446E-2</v>
      </c>
      <c r="AE251" s="1">
        <v>42731</v>
      </c>
      <c r="AF251">
        <v>235.11889600000001</v>
      </c>
      <c r="AG251" s="5">
        <f t="shared" si="36"/>
        <v>0.28520124233952104</v>
      </c>
      <c r="AJ251" s="1">
        <v>42731</v>
      </c>
      <c r="AK251">
        <v>60.720363999999996</v>
      </c>
      <c r="AL251" s="5">
        <f t="shared" si="37"/>
        <v>0.25665351306816447</v>
      </c>
      <c r="AO251" s="1">
        <v>42731</v>
      </c>
      <c r="AP251">
        <v>37.909312999999997</v>
      </c>
      <c r="AQ251" s="5">
        <f t="shared" si="38"/>
        <v>0.46850817038972936</v>
      </c>
      <c r="AT251" s="1">
        <v>42731</v>
      </c>
      <c r="AU251">
        <v>175.696381</v>
      </c>
      <c r="AV251" s="5">
        <f t="shared" si="39"/>
        <v>9.510199054974687E-2</v>
      </c>
    </row>
    <row r="252" spans="1:48" x14ac:dyDescent="0.2">
      <c r="A252" s="1">
        <v>42732</v>
      </c>
      <c r="B252">
        <v>11.274440999999999</v>
      </c>
      <c r="C252" s="5">
        <f t="shared" si="30"/>
        <v>-1.8549677907289315</v>
      </c>
      <c r="F252" s="1">
        <v>42732</v>
      </c>
      <c r="G252">
        <v>170.26965300000001</v>
      </c>
      <c r="H252" s="5">
        <f t="shared" si="31"/>
        <v>-0.82634994559911812</v>
      </c>
      <c r="K252" s="1">
        <v>42732</v>
      </c>
      <c r="L252">
        <v>115.412628</v>
      </c>
      <c r="M252" s="5">
        <f t="shared" si="32"/>
        <v>-0.79966235005895958</v>
      </c>
      <c r="P252" s="1">
        <v>42732</v>
      </c>
      <c r="Q252">
        <v>103.769997</v>
      </c>
      <c r="R252" s="5">
        <f t="shared" si="33"/>
        <v>-1.1526061777689156</v>
      </c>
      <c r="U252" s="1">
        <v>42732</v>
      </c>
      <c r="V252">
        <v>11.55</v>
      </c>
      <c r="W252" s="5">
        <f t="shared" si="34"/>
        <v>-4.3082021541010738</v>
      </c>
      <c r="Z252" s="1">
        <v>42732</v>
      </c>
      <c r="AA252">
        <v>36.208317000000001</v>
      </c>
      <c r="AB252" s="5">
        <f t="shared" si="35"/>
        <v>-0.27373803990089041</v>
      </c>
      <c r="AE252" s="1">
        <v>42732</v>
      </c>
      <c r="AF252">
        <v>230.33848599999999</v>
      </c>
      <c r="AG252" s="5">
        <f t="shared" si="36"/>
        <v>-2.033188349098074</v>
      </c>
      <c r="AJ252" s="1">
        <v>42732</v>
      </c>
      <c r="AK252">
        <v>60.496913999999997</v>
      </c>
      <c r="AL252" s="5">
        <f t="shared" si="37"/>
        <v>-0.36799845271019738</v>
      </c>
      <c r="AO252" s="1">
        <v>42732</v>
      </c>
      <c r="AP252">
        <v>37.536113999999998</v>
      </c>
      <c r="AQ252" s="5">
        <f t="shared" si="38"/>
        <v>-0.98445202633980644</v>
      </c>
      <c r="AT252" s="1">
        <v>42732</v>
      </c>
      <c r="AU252">
        <v>174.871521</v>
      </c>
      <c r="AV252" s="5">
        <f t="shared" si="39"/>
        <v>-0.46948035884700495</v>
      </c>
    </row>
    <row r="253" spans="1:48" x14ac:dyDescent="0.2">
      <c r="A253" s="1">
        <v>42733</v>
      </c>
      <c r="B253">
        <v>11.332556</v>
      </c>
      <c r="C253" s="5">
        <f t="shared" si="30"/>
        <v>0.51545792824673797</v>
      </c>
      <c r="F253" s="1">
        <v>42733</v>
      </c>
      <c r="G253">
        <v>170.12979100000001</v>
      </c>
      <c r="H253" s="5">
        <f t="shared" si="31"/>
        <v>-8.2141472385565809E-2</v>
      </c>
      <c r="K253" s="1">
        <v>42733</v>
      </c>
      <c r="L253">
        <v>115.808525</v>
      </c>
      <c r="M253" s="5">
        <f t="shared" si="32"/>
        <v>0.34302745450004402</v>
      </c>
      <c r="P253" s="1">
        <v>42733</v>
      </c>
      <c r="Q253">
        <v>103.68</v>
      </c>
      <c r="R253" s="5">
        <f t="shared" si="33"/>
        <v>-8.6727380362164583E-2</v>
      </c>
      <c r="U253" s="1">
        <v>42733</v>
      </c>
      <c r="V253">
        <v>11.59</v>
      </c>
      <c r="W253" s="5">
        <f t="shared" si="34"/>
        <v>0.34632034632033892</v>
      </c>
      <c r="Z253" s="1">
        <v>42733</v>
      </c>
      <c r="AA253">
        <v>36.258011000000003</v>
      </c>
      <c r="AB253" s="5">
        <f t="shared" si="35"/>
        <v>0.13724471093202797</v>
      </c>
      <c r="AE253" s="1">
        <v>42733</v>
      </c>
      <c r="AF253">
        <v>232.32449299999999</v>
      </c>
      <c r="AG253" s="5">
        <f t="shared" si="36"/>
        <v>0.86221240509499619</v>
      </c>
      <c r="AJ253" s="1">
        <v>42733</v>
      </c>
      <c r="AK253">
        <v>60.943817000000003</v>
      </c>
      <c r="AL253" s="5">
        <f t="shared" si="37"/>
        <v>0.7387203254698349</v>
      </c>
      <c r="AO253" s="1">
        <v>42733</v>
      </c>
      <c r="AP253">
        <v>37.624504000000002</v>
      </c>
      <c r="AQ253" s="5">
        <f t="shared" si="38"/>
        <v>0.23547989011330253</v>
      </c>
      <c r="AT253" s="1">
        <v>42733</v>
      </c>
      <c r="AU253">
        <v>175.19558699999999</v>
      </c>
      <c r="AV253" s="5">
        <f t="shared" si="39"/>
        <v>0.18531662454058928</v>
      </c>
    </row>
    <row r="254" spans="1:48" x14ac:dyDescent="0.2">
      <c r="A254" s="1">
        <v>42734</v>
      </c>
      <c r="B254">
        <v>11.255069000000001</v>
      </c>
      <c r="C254" s="5">
        <f t="shared" si="30"/>
        <v>-0.68375572112769289</v>
      </c>
      <c r="F254" s="1">
        <v>42734</v>
      </c>
      <c r="G254">
        <v>168.97081</v>
      </c>
      <c r="H254" s="5">
        <f t="shared" si="31"/>
        <v>-0.68123342372178142</v>
      </c>
      <c r="K254" s="1">
        <v>42734</v>
      </c>
      <c r="L254">
        <v>115.92729199999999</v>
      </c>
      <c r="M254" s="5">
        <f t="shared" si="32"/>
        <v>0.1025546262677909</v>
      </c>
      <c r="P254" s="1">
        <v>42734</v>
      </c>
      <c r="Q254">
        <v>102.949997</v>
      </c>
      <c r="R254" s="5">
        <f t="shared" si="33"/>
        <v>-0.70409239969136816</v>
      </c>
      <c r="U254" s="1">
        <v>42734</v>
      </c>
      <c r="V254">
        <v>11.34</v>
      </c>
      <c r="W254" s="5">
        <f t="shared" si="34"/>
        <v>-2.1570319240724762</v>
      </c>
      <c r="Z254" s="1">
        <v>42734</v>
      </c>
      <c r="AA254">
        <v>35.890262999999997</v>
      </c>
      <c r="AB254" s="5">
        <f t="shared" si="35"/>
        <v>-1.0142530984394205</v>
      </c>
      <c r="AE254" s="1">
        <v>42734</v>
      </c>
      <c r="AF254">
        <v>230.398346</v>
      </c>
      <c r="AG254" s="5">
        <f t="shared" si="36"/>
        <v>-0.82907616632568581</v>
      </c>
      <c r="AJ254" s="1">
        <v>42734</v>
      </c>
      <c r="AK254">
        <v>60.836948</v>
      </c>
      <c r="AL254" s="5">
        <f t="shared" si="37"/>
        <v>-0.17535659113705201</v>
      </c>
      <c r="AO254" s="1">
        <v>42734</v>
      </c>
      <c r="AP254">
        <v>37.722712999999999</v>
      </c>
      <c r="AQ254" s="5">
        <f t="shared" si="38"/>
        <v>0.26102403901456644</v>
      </c>
      <c r="AT254" s="1">
        <v>42734</v>
      </c>
      <c r="AU254">
        <v>175.35270700000001</v>
      </c>
      <c r="AV254" s="5">
        <f t="shared" si="39"/>
        <v>8.9682624254696766E-2</v>
      </c>
    </row>
    <row r="259" spans="1:47" x14ac:dyDescent="0.2">
      <c r="A259" s="2" t="s">
        <v>20</v>
      </c>
      <c r="B259" s="2">
        <v>0.05</v>
      </c>
      <c r="F259" s="2" t="s">
        <v>20</v>
      </c>
      <c r="G259" s="2">
        <v>0.05</v>
      </c>
      <c r="K259" s="2" t="s">
        <v>20</v>
      </c>
      <c r="L259" s="2">
        <v>0.05</v>
      </c>
      <c r="P259" s="2" t="s">
        <v>20</v>
      </c>
      <c r="Q259" s="2">
        <v>0.05</v>
      </c>
      <c r="U259" s="2" t="s">
        <v>20</v>
      </c>
      <c r="V259" s="2">
        <v>0.05</v>
      </c>
      <c r="Z259" s="2" t="s">
        <v>20</v>
      </c>
      <c r="AA259" s="2">
        <v>0.05</v>
      </c>
      <c r="AE259" s="2" t="s">
        <v>20</v>
      </c>
      <c r="AF259" s="2">
        <v>0.05</v>
      </c>
      <c r="AJ259" s="2" t="s">
        <v>20</v>
      </c>
      <c r="AK259" s="2">
        <v>0.05</v>
      </c>
      <c r="AO259" s="2" t="s">
        <v>20</v>
      </c>
      <c r="AP259" s="2">
        <v>0.05</v>
      </c>
      <c r="AT259" s="2" t="s">
        <v>20</v>
      </c>
      <c r="AU259" s="2">
        <v>0.05</v>
      </c>
    </row>
    <row r="260" spans="1:47" x14ac:dyDescent="0.2">
      <c r="A260" s="2"/>
      <c r="B260" s="2"/>
      <c r="F260" s="2"/>
      <c r="G260" s="2"/>
      <c r="K260" s="2"/>
      <c r="L260" s="2"/>
      <c r="P260" s="2"/>
      <c r="Q260" s="2"/>
      <c r="U260" s="2"/>
      <c r="V260" s="2"/>
      <c r="Z260" s="2"/>
      <c r="AA260" s="2"/>
      <c r="AE260" s="2"/>
      <c r="AF260" s="2"/>
      <c r="AJ260" s="2"/>
      <c r="AK260" s="2"/>
      <c r="AO260" s="2"/>
      <c r="AP260" s="2"/>
      <c r="AT260" s="2"/>
      <c r="AU260" s="2"/>
    </row>
    <row r="261" spans="1:47" x14ac:dyDescent="0.2">
      <c r="A261" s="2" t="s">
        <v>21</v>
      </c>
      <c r="B261" s="2">
        <v>0</v>
      </c>
      <c r="F261" s="2" t="s">
        <v>21</v>
      </c>
      <c r="G261" s="2">
        <v>0</v>
      </c>
      <c r="K261" s="2" t="s">
        <v>21</v>
      </c>
      <c r="L261" s="2">
        <v>0</v>
      </c>
      <c r="P261" s="2" t="s">
        <v>21</v>
      </c>
      <c r="Q261" s="2">
        <v>0</v>
      </c>
      <c r="U261" s="2" t="s">
        <v>21</v>
      </c>
      <c r="V261" s="2">
        <v>0</v>
      </c>
      <c r="Z261" s="2" t="s">
        <v>21</v>
      </c>
      <c r="AA261" s="2">
        <v>0</v>
      </c>
      <c r="AE261" s="2" t="s">
        <v>21</v>
      </c>
      <c r="AF261" s="2">
        <v>0</v>
      </c>
      <c r="AJ261" s="2" t="s">
        <v>21</v>
      </c>
      <c r="AK261" s="2">
        <v>0</v>
      </c>
      <c r="AO261" s="2" t="s">
        <v>21</v>
      </c>
      <c r="AP261" s="2">
        <v>0</v>
      </c>
      <c r="AT261" s="2" t="s">
        <v>21</v>
      </c>
      <c r="AU261" s="2">
        <v>0</v>
      </c>
    </row>
    <row r="262" spans="1:47" x14ac:dyDescent="0.2">
      <c r="A262" s="2"/>
      <c r="B262" s="2"/>
      <c r="F262" s="2"/>
      <c r="G262" s="2"/>
      <c r="K262" s="2"/>
      <c r="L262" s="2"/>
      <c r="P262" s="2"/>
      <c r="Q262" s="2"/>
      <c r="U262" s="2"/>
      <c r="V262" s="2"/>
      <c r="Z262" s="2"/>
      <c r="AA262" s="2"/>
      <c r="AE262" s="2"/>
      <c r="AF262" s="2"/>
      <c r="AJ262" s="2"/>
      <c r="AK262" s="2"/>
      <c r="AO262" s="2"/>
      <c r="AP262" s="2"/>
      <c r="AT262" s="2"/>
      <c r="AU262" s="2"/>
    </row>
    <row r="263" spans="1:47" x14ac:dyDescent="0.2">
      <c r="A263" s="2" t="s">
        <v>15</v>
      </c>
      <c r="B263" s="6">
        <f>AVERAGE(C4:C254)</f>
        <v>0.11631691601665312</v>
      </c>
      <c r="F263" s="2" t="s">
        <v>15</v>
      </c>
      <c r="G263" s="6">
        <f>AVERAGE(H4:H254)</f>
        <v>5.6586100317735248E-2</v>
      </c>
      <c r="K263" s="2" t="s">
        <v>15</v>
      </c>
      <c r="L263" s="6">
        <f>AVERAGE(M4:M254)</f>
        <v>7.2617264152007782E-2</v>
      </c>
      <c r="P263" s="2" t="s">
        <v>15</v>
      </c>
      <c r="Q263" s="6">
        <f>AVERAGE(R4:R254)</f>
        <v>5.6991767703545242E-2</v>
      </c>
      <c r="U263" s="2" t="s">
        <v>15</v>
      </c>
      <c r="V263" s="6">
        <f>AVERAGE(W4:W254)</f>
        <v>0.69179940878891855</v>
      </c>
      <c r="Z263" s="2" t="s">
        <v>15</v>
      </c>
      <c r="AA263" s="6">
        <f>AVERAGE(AB4:AB254)</f>
        <v>6.2035253589025298E-3</v>
      </c>
      <c r="AE263" s="2" t="s">
        <v>15</v>
      </c>
      <c r="AF263" s="6">
        <f>AVERAGE(AG4:AG254)</f>
        <v>1.7111040883477417E-2</v>
      </c>
      <c r="AJ263" s="2" t="s">
        <v>15</v>
      </c>
      <c r="AK263" s="6">
        <f>AVERAGE(AL4:AL254)</f>
        <v>6.2942713153317092E-2</v>
      </c>
      <c r="AO263" s="2" t="s">
        <v>15</v>
      </c>
      <c r="AP263" s="6">
        <f>AVERAGE(AQ4:AQ254)</f>
        <v>-2.3133168946729978E-2</v>
      </c>
      <c r="AT263" s="2" t="s">
        <v>15</v>
      </c>
      <c r="AU263" s="6">
        <f>AVERAGE(AV4:AV254)</f>
        <v>9.275596589581607E-2</v>
      </c>
    </row>
    <row r="264" spans="1:47" x14ac:dyDescent="0.2">
      <c r="A264" s="2" t="s">
        <v>16</v>
      </c>
      <c r="B264" s="2">
        <f>_xlfn.STDEV.S(C4:C254)</f>
        <v>1.8537516508387277</v>
      </c>
      <c r="F264" s="2" t="s">
        <v>16</v>
      </c>
      <c r="G264" s="2">
        <f>_xlfn.STDEV.S(H4:H254)</f>
        <v>1.704256940161625</v>
      </c>
      <c r="K264" s="2" t="s">
        <v>16</v>
      </c>
      <c r="L264" s="2">
        <f>_xlfn.STDEV.S(M4:M254)</f>
        <v>1.3322033374622775</v>
      </c>
      <c r="P264" s="2" t="s">
        <v>16</v>
      </c>
      <c r="Q264" s="2">
        <f>_xlfn.STDEV.S(R4:R254)</f>
        <v>1.5525778117050049</v>
      </c>
      <c r="U264" s="2" t="s">
        <v>16</v>
      </c>
      <c r="V264" s="2">
        <f>_xlfn.STDEV.S(W4:W254)</f>
        <v>5.3564266915476599</v>
      </c>
      <c r="Z264" s="2" t="s">
        <v>16</v>
      </c>
      <c r="AA264" s="2">
        <f>_xlfn.STDEV.S(AB4:AB254)</f>
        <v>1.9656463585378956</v>
      </c>
      <c r="AE264" s="2" t="s">
        <v>16</v>
      </c>
      <c r="AF264" s="2">
        <f>_xlfn.STDEV.S(AG4:AG254)</f>
        <v>2.0303936595790004</v>
      </c>
      <c r="AJ264" s="2" t="s">
        <v>16</v>
      </c>
      <c r="AK264" s="2">
        <f>_xlfn.STDEV.S(AL4:AL254)</f>
        <v>1.7133180753106596</v>
      </c>
      <c r="AO264" s="2" t="s">
        <v>16</v>
      </c>
      <c r="AP264" s="2">
        <f>_xlfn.STDEV.S(AQ4:AQ254)</f>
        <v>1.4911649942915601</v>
      </c>
      <c r="AT264" s="2" t="s">
        <v>16</v>
      </c>
      <c r="AU264" s="2">
        <f>_xlfn.STDEV.S(AV4:AV254)</f>
        <v>0.91878843081969119</v>
      </c>
    </row>
    <row r="265" spans="1:47" x14ac:dyDescent="0.2">
      <c r="A265" s="2" t="s">
        <v>17</v>
      </c>
      <c r="B265" s="2">
        <v>251</v>
      </c>
      <c r="F265" s="2" t="s">
        <v>17</v>
      </c>
      <c r="G265" s="2">
        <v>251</v>
      </c>
      <c r="K265" s="2" t="s">
        <v>17</v>
      </c>
      <c r="L265" s="2">
        <v>251</v>
      </c>
      <c r="P265" s="2" t="s">
        <v>17</v>
      </c>
      <c r="Q265" s="2">
        <v>251</v>
      </c>
      <c r="U265" s="2" t="s">
        <v>17</v>
      </c>
      <c r="V265" s="2">
        <v>251</v>
      </c>
      <c r="Z265" s="2" t="s">
        <v>17</v>
      </c>
      <c r="AA265" s="2">
        <v>251</v>
      </c>
      <c r="AE265" s="2" t="s">
        <v>17</v>
      </c>
      <c r="AF265" s="2">
        <v>251</v>
      </c>
      <c r="AJ265" s="2" t="s">
        <v>17</v>
      </c>
      <c r="AK265" s="2">
        <v>251</v>
      </c>
      <c r="AO265" s="2" t="s">
        <v>17</v>
      </c>
      <c r="AP265" s="2">
        <v>251</v>
      </c>
      <c r="AT265" s="2" t="s">
        <v>17</v>
      </c>
      <c r="AU265" s="2">
        <v>251</v>
      </c>
    </row>
    <row r="266" spans="1:47" x14ac:dyDescent="0.2">
      <c r="A266" s="2"/>
      <c r="B266" s="2"/>
      <c r="F266" s="2"/>
      <c r="G266" s="2"/>
      <c r="K266" s="2"/>
      <c r="L266" s="2"/>
      <c r="P266" s="2"/>
      <c r="Q266" s="2"/>
      <c r="U266" s="2"/>
      <c r="V266" s="2"/>
      <c r="Z266" s="2"/>
      <c r="AA266" s="2"/>
      <c r="AE266" s="2"/>
      <c r="AF266" s="2"/>
      <c r="AJ266" s="2"/>
      <c r="AK266" s="2"/>
      <c r="AO266" s="2"/>
      <c r="AP266" s="2"/>
      <c r="AT266" s="2"/>
      <c r="AU266" s="2"/>
    </row>
    <row r="268" spans="1:47" x14ac:dyDescent="0.2">
      <c r="A268" s="2" t="s">
        <v>18</v>
      </c>
      <c r="B268" s="2">
        <f>(B263-B261)/(B264/SQRT(B265))</f>
        <v>0.99409568546383853</v>
      </c>
      <c r="F268" s="2" t="s">
        <v>18</v>
      </c>
      <c r="G268" s="2">
        <f>(G263-G261)/(G264/SQRT(G265))</f>
        <v>0.52603126159983926</v>
      </c>
      <c r="K268" s="2" t="s">
        <v>18</v>
      </c>
      <c r="L268" s="2">
        <f>(L263-L261)/(L264/SQRT(L265))</f>
        <v>0.86358725897444333</v>
      </c>
      <c r="P268" s="2" t="s">
        <v>18</v>
      </c>
      <c r="Q268" s="2">
        <f>(Q263-Q261)/(Q264/SQRT(Q265))</f>
        <v>0.58156145321717889</v>
      </c>
      <c r="U268" s="2" t="s">
        <v>18</v>
      </c>
      <c r="V268" s="2">
        <f>(V263-V261)/(V264/SQRT(V265))</f>
        <v>2.0461707953798172</v>
      </c>
      <c r="Z268" s="2" t="s">
        <v>18</v>
      </c>
      <c r="AA268" s="2">
        <f>(AA263-AA261)/(AA264/SQRT(AA265))</f>
        <v>5.0000003699582497E-2</v>
      </c>
      <c r="AE268" s="2" t="s">
        <v>18</v>
      </c>
      <c r="AF268" s="2">
        <f>(AF263-AF261)/(AF264/SQRT(AF265))</f>
        <v>0.13351591646548427</v>
      </c>
      <c r="AJ268" s="2" t="s">
        <v>18</v>
      </c>
      <c r="AK268" s="2">
        <f>(AK263-AK261)/(AK264/SQRT(AK265))</f>
        <v>0.58202859682030106</v>
      </c>
      <c r="AO268" s="2" t="s">
        <v>18</v>
      </c>
      <c r="AP268" s="2">
        <f>(AP263-AP261)/(AP264/SQRT(AP265))</f>
        <v>-0.24577985883978321</v>
      </c>
      <c r="AT268" s="2" t="s">
        <v>18</v>
      </c>
      <c r="AU268" s="2">
        <f>(AU263-AU261)/(AU264/SQRT(AU265))</f>
        <v>1.5994224769743235</v>
      </c>
    </row>
    <row r="270" spans="1:47" x14ac:dyDescent="0.2">
      <c r="A270" s="2" t="s">
        <v>19</v>
      </c>
      <c r="B270" s="2">
        <v>1.6774</v>
      </c>
      <c r="F270" s="2" t="s">
        <v>19</v>
      </c>
      <c r="G270" s="2">
        <v>1.3999569999999999</v>
      </c>
      <c r="K270" s="2" t="s">
        <v>19</v>
      </c>
      <c r="L270" s="2">
        <v>1.610098</v>
      </c>
      <c r="P270" s="2" t="s">
        <v>19</v>
      </c>
      <c r="Q270" s="2">
        <v>1.437816</v>
      </c>
      <c r="U270" s="2" t="s">
        <v>19</v>
      </c>
      <c r="V270" s="2">
        <v>1.956609</v>
      </c>
      <c r="Z270" s="2" t="s">
        <v>19</v>
      </c>
      <c r="AA270" s="2">
        <v>1.039777</v>
      </c>
      <c r="AE270" s="2" t="s">
        <v>19</v>
      </c>
      <c r="AF270" s="2">
        <v>1.105944</v>
      </c>
      <c r="AJ270" s="2" t="s">
        <v>19</v>
      </c>
      <c r="AK270" s="2">
        <v>1.438129</v>
      </c>
      <c r="AO270" s="2" t="s">
        <v>19</v>
      </c>
      <c r="AP270" s="2">
        <v>1.1936389999999999</v>
      </c>
      <c r="AT270" s="2" t="s">
        <v>19</v>
      </c>
      <c r="AU270" s="2">
        <v>1.887087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S&amp;P stock</vt:lpstr>
      <vt:lpstr>component stocks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2017-09-03T16:04:31Z</dcterms:created>
  <dcterms:modified xsi:type="dcterms:W3CDTF">2017-09-03T18:21:12Z</dcterms:modified>
</cp:coreProperties>
</file>